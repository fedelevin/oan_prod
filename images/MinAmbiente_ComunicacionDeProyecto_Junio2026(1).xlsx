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osina.segui\Documents\OBSERVATORIO\IMPACTO nuevos trámites\"/>
    </mc:Choice>
  </mc:AlternateContent>
  <xr:revisionPtr revIDLastSave="0" documentId="13_ncr:1_{7EA45B5D-8D0B-4332-ADE0-2067D49684FC}" xr6:coauthVersionLast="47" xr6:coauthVersionMax="47" xr10:uidLastSave="{00000000-0000-0000-0000-000000000000}"/>
  <bookViews>
    <workbookView xWindow="-120" yWindow="-120" windowWidth="29040" windowHeight="15840" tabRatio="894" xr2:uid="{023CD77C-2268-475A-BF76-850AF322FDBE}"/>
  </bookViews>
  <sheets>
    <sheet name="1 de 6 - PROYECTO" sheetId="13" r:id="rId1"/>
    <sheet name="2 de 6 - TITULARES" sheetId="1" r:id="rId2"/>
    <sheet name="3 de 6 - UBICACION-PADRONES" sheetId="10" r:id="rId3"/>
    <sheet name="4 de 6 - UBICACION-AREA" sheetId="11" r:id="rId4"/>
    <sheet name="5 de 6 - ELEMENTOS INTERES" sheetId="14" r:id="rId5"/>
    <sheet name="6de6 - POS. IMPACTOS Y MEDIDAS" sheetId="12" r:id="rId6"/>
    <sheet name="REFERENCIAS" sheetId="3" r:id="rId7"/>
  </sheets>
  <definedNames>
    <definedName name="ambito">REFERENCIAS!$B$2:$B$38</definedName>
    <definedName name="_xlnm.Print_Area" localSheetId="0">'1 de 6 - PROYECTO'!$A$1:$C$12</definedName>
    <definedName name="_xlnm.Print_Area" localSheetId="1">'2 de 6 - TITULARES'!$A$1:$C$29</definedName>
    <definedName name="_xlnm.Print_Area" localSheetId="2">'3 de 6 - UBICACION-PADRONES'!$A$1:$K$25</definedName>
    <definedName name="_xlnm.Print_Area" localSheetId="3">'4 de 6 - UBICACION-AREA'!$A$1:$C$21</definedName>
    <definedName name="_xlnm.Print_Area" localSheetId="4">'5 de 6 - ELEMENTOS INTERES'!$A$1:$D$16</definedName>
    <definedName name="_xlnm.Print_Area" localSheetId="5">'6de6 - POS. IMPACTOS Y MEDIDAS'!$A$1:$K$18</definedName>
    <definedName name="DatosExternos_1" localSheetId="6" hidden="1">REFERENCIAS!#REF!</definedName>
    <definedName name="deptos">REFERENCIAS!$D$2:$D$20</definedName>
    <definedName name="elementos_int">REFERENCIAS!$F$2:$F$9</definedName>
    <definedName name="nacionalidades">REFERENCIAS!$C$2:$C$195</definedName>
    <definedName name="profesion">REFERENCIAS!$E$2:$E$59</definedName>
    <definedName name="tipo_persona">REFERENCIAS!$C$3:$C$4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8" i="11" l="1"/>
  <c r="C17" i="11"/>
  <c r="C7" i="1"/>
  <c r="I2" i="12"/>
  <c r="F2" i="12"/>
  <c r="C2" i="10"/>
  <c r="C2" i="11"/>
  <c r="C2" i="12"/>
  <c r="C2" i="14"/>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8B0EDF-8B52-4817-A615-CA1053854C49}" keepAlive="1" name="Consulta - ambitos" description="Conexión a la consulta 'ambitos' en el libro." type="5" refreshedVersion="0" background="1">
    <dbPr connection="Provider=Microsoft.Mashup.OleDb.1;Data Source=$Workbook$;Location=ambitos;Extended Properties=&quot;&quot;" command="SELECT * FROM [ambitos]"/>
  </connection>
  <connection id="2" xr16:uid="{730869A0-1404-4E66-91DB-14FCB046C272}" keepAlive="1" name="Consulta - departamento" description="Conexión a la consulta 'departamento' en el libro." type="5" refreshedVersion="7" background="1" saveData="1">
    <dbPr connection="Provider=Microsoft.Mashup.OleDb.1;Data Source=$Workbook$;Location=departamento;Extended Properties=&quot;&quot;" command="SELECT * FROM [departamento]"/>
  </connection>
  <connection id="3" xr16:uid="{FEA8617C-6230-410A-8D15-30704B01B815}" keepAlive="1" name="Consulta - elemento_de_interes" description="Conexión a la consulta 'elemento_de_interes' en el libro." type="5" refreshedVersion="7" background="1" saveData="1">
    <dbPr connection="Provider=Microsoft.Mashup.OleDb.1;Data Source=$Workbook$;Location=elemento_de_interes;Extended Properties=&quot;&quot;" command="SELECT * FROM [elemento_de_interes]"/>
  </connection>
  <connection id="4" xr16:uid="{1704D972-808B-4FE7-BEEB-7DFC192E6DA7}" keepAlive="1" name="Consulta - nacionalidad" description="Conexión a la consulta 'nacionalidad' en el libro." type="5" refreshedVersion="0" background="1">
    <dbPr connection="Provider=Microsoft.Mashup.OleDb.1;Data Source=$Workbook$;Location=nacionalidad;Extended Properties=&quot;&quot;" command="SELECT * FROM [nacionalidad]"/>
  </connection>
  <connection id="5" xr16:uid="{E8173F98-F682-4B4B-BED6-4FF103F6276B}" keepAlive="1" name="Consulta - profesion" description="Conexión a la consulta 'profesion' en el libro." type="5" refreshedVersion="0" background="1">
    <dbPr connection="Provider=Microsoft.Mashup.OleDb.1;Data Source=$Workbook$;Location=profesion;Extended Properties=&quot;&quot;" command="SELECT * FROM [profesion]"/>
  </connection>
</connections>
</file>

<file path=xl/sharedStrings.xml><?xml version="1.0" encoding="utf-8"?>
<sst xmlns="http://schemas.openxmlformats.org/spreadsheetml/2006/main" count="458" uniqueCount="418">
  <si>
    <t>TITULAR DEL PROYECTO</t>
  </si>
  <si>
    <t>TECNICO RESPONSABLE</t>
  </si>
  <si>
    <t>UBICACIÓN</t>
  </si>
  <si>
    <t>AREA</t>
  </si>
  <si>
    <t>FAJA DEFENSA COSTAS</t>
  </si>
  <si>
    <t>IOTs</t>
  </si>
  <si>
    <t>ELEMENTOS INTERES</t>
  </si>
  <si>
    <t>DESCRIPCION</t>
  </si>
  <si>
    <t>POSIBLES IMPACTOS</t>
  </si>
  <si>
    <t>PROPUESTA CLASIFICACION</t>
  </si>
  <si>
    <t>PROYECTO</t>
  </si>
  <si>
    <t>id</t>
  </si>
  <si>
    <t>amb_apl_nombre</t>
  </si>
  <si>
    <t>37- CENTROS DE CULTIVO Y ACTIVIDADES DE ACUICULTURA</t>
  </si>
  <si>
    <t>36- LOS ESTUDIOS DEL LECHO MARINO O DEL SUBSUELO MARINO, INCLUYENDO LAS ACTIVIDADES DE PROSPECCIÓN Y LAS DE EXPLORACIÓN DE LOS MISMOS, EN TODOS ESOS CASOS CUANDO SE REALICEN A TRAVÉS DE MÉTODOS QUE UTILICEN FUENTES ACUSTICAS O ELECTRO MAGNÉTICAS</t>
  </si>
  <si>
    <t>05- CONSTRUCCIÓN DE NUEVOS PUERTOS, TANTO COMERCIALES COMO DEPORTIVOS O REMODELACIONES DE LOS EXISTENTES DONDE EXISTAN MODIFICACIONES DE LAS ESTRUCTURAS DE MAR, YA SEAN ESCOLLERAS, DIQUES, MUELLES U OBRAS QUE IMPLIQUEN GANAR TIERRA AL MAR</t>
  </si>
  <si>
    <t>07- CONSTRUCCIÓN DE OLEODUCTOS Y GASODUCTOS QUE SUPEREN UNA LONGITUD DE 10 (DIEZ) KILÓMETROS</t>
  </si>
  <si>
    <t>06- CONSTRUCCIÓN DE TERMINALES DE TRASVASE DE PETRÓLEO O PRODUCTOS QUÍMICOS</t>
  </si>
  <si>
    <t>01- CONSTRUCCIÓN DE CARRETERAS NACIONALES O DEPARTAMENTALES Y TODA RECTIFICACIÓN O ENSANCHE DE LAS EXISTENTES, SALVO RESPECTO DE LAS CARRETERAS YA ABIERTAS Y PAVIMENTADAS, EN LAS QUE LA RECTIFICACIÓN O ENSANCHE DEBERÍA MODIFICAR EL TRAZADO DE LA FAJA DE DOMINIO PÚBLICO, CON UNA AFECTACIÓN SUPERIOR A 10 (DIEZ) HECTÁREAS</t>
  </si>
  <si>
    <t>02- CONSTRUCCIÓN DE TRAMOS NUEVOS DE VÍAS FÉRREAS Y TODA RECTIFICACIÓN DE LAS EXISTENTES EN ÁREAS URBANAS O SUBURBANAS, O FUERA DE ELLAS CUANDO IMPLIQUE UNA AFECTACIÓN DE LA FAJA DE DOMINIO FERROVIARIO SUPERIOR A 5 (CINCO) HECTÁREAS</t>
  </si>
  <si>
    <t>03- CONSTRUCCIÓN DE NUEVOS PUENTES O LA MODIFICACIÓN DE LOS EXISTENTES CUANDO IMPLIQUE REALIZAR NUEVAS FUNDACIONES</t>
  </si>
  <si>
    <t>04- CONSTRUCCIÓN DE NUEVOS AEROPUERTOS DE USO PÚBLICO O REMODELACIONES DE LOS EXISTENTES CUANDO INCLUYAN MODIFICACIONES EN LAS PISTAS</t>
  </si>
  <si>
    <t>35- LA INSTALACIÓN DE ESTABLECIMIENTOS DE ENGORDE DE GANADO BOVINO A CORRAL CON DESTINO A FAENA O RECRÍA LAS INSTALACIONES DE CUARENTENA DE BOVINOS EN PIE Y, OTRAS PRÁCTICAS DE ENCIERRO PERMANENTE DE GANADO BOVINO A CIELO ABIERTO EN UN MÁXIMO DE HASTA 45 M2 (CUARENTA Y CINCO METROS CUADRADOS) POR ANIMAL, LOCALIZADOS EN LA CUENCA DEL RÍO SANTA LUCÍA SIEMPRE QUE CUALQUIERA DE ELLOS TENGA UNA CAPACIDAD DE ENCIERRO SUPERIOR A 5.000 (CINCO MIL) ANIMALES</t>
  </si>
  <si>
    <t>34- LAS ACTIVIDADES, CONSTRUCCIONES U OBRAS QUE SE PROYECTEN DENTRO DE LAS ÁREAS NATURALES PROTEGIDAS QUE HUBIERAN SIDO O SEAN DECLARADAS COMO TALES Y QUE NO ESTUVIEREN COMPRENDIDAS EN PLANES DE MANEJO APROBADOS CON SUJECIÓN A LO DISPUESTO EN LA LEY NRO. 17.234, DE 22 DE FEBRERO DE 2000</t>
  </si>
  <si>
    <t>33- TODA CONSTRUCCIÓN U OBRA QUE SE PROYECTE EN LA FAJA DE DEFENSA DE COSTAS, DEFINIDA POR EL ARTÍCULO 153 DEL CÓDIGO DE AGUAS (DECRETO-LEY NRO. 14.859, DE 15 DE DICIEMBRE DE 1978, EN LA REDACCIÓN DADA POR EL ARTÍCULO 193 DE LA LEY NRO. 15.903, DE 10 DE NOVIEMBRE DE 1987)</t>
  </si>
  <si>
    <t>32- INSTALACIÓN DE CEMENTERIOS, SEAN PÚBLICOS O PRIVADOS</t>
  </si>
  <si>
    <t>31- CONSTRUCCIÓN DE MUELLES, ESCOLLERAS O ESPIGONES</t>
  </si>
  <si>
    <t>30- NUEVAS PLANTACIONES FORESTALES DE MÁS DE 100 (CIEN) HECTÁREAS EN UN ESTABLECIMIENTO O UNIDAD DE PRODUCCIÓN</t>
  </si>
  <si>
    <t>29- DRAGADO DE CURSOS O CUERPOS DE AGUA CON FINES DE NAVEGACIÓN; CON EXCEPCIÓN DE LOS DRAGADOS DE MANTENIMIENTO DE LAS VÍAS NAVEGABLES</t>
  </si>
  <si>
    <t>28- EXPLOTACIONES HORTÍCOLAS, FRUTÍCOLAS O VITÍCOLAS MÁS DE 100 (CIEN) HECTÁREAS, EN UN ÚNICO ESTABLECIMIENTO O UNIDAD DE PRODUCCIÓN</t>
  </si>
  <si>
    <t>08- CONSTRUCCIÓN DE EMISARIOS DE LÍQUIDOS RESIDUALES, CUANDO LA TUBERÍA QUE CONDUCE LOS LÍQUIDOS HACIA EL CUERPO RECEPTOR, POSEE UNA LONGITUD DE MÁS DE 50 (CINCUENTA) METROS DENTRO DE ÉSTE</t>
  </si>
  <si>
    <t>09- CONSTRUCCIÓN DE PLANTAS DE TRATAMIENTO Y DISPOSICIÓN FINAL DE RESIDUOS TÓXICOS Y PELIGROSOS</t>
  </si>
  <si>
    <t>10- INSTALACIÓN DE PLANTAS PARA EL TRATAMIENTO DE RESIDUOS SÓLIDOS Y LA APERTURA DE SITIOS DE DISPOSICIÓN FINAL DE LOS MISMOS O LA AMPLIACIÓN DE LOS EXISTENTES, CUANDO SU CAPACIDAD SEA MAYOR O IGUAL A 10 (DIEZ) TONELADAS/DÍA. SE EXCEPTUA LA AMPLIACIÓN DE SITIOS DE DISPOSICIÓN FINAL DE RESIDUOS SÓLIDOS DENTRO DE LOS 3 (TRES) PRIMEROS AÑOS DE VIGENCIA DE ESTE DECRETO, SIEMPRE QUE LA SUMA DE LAS AMPLIACIONES DEL RESPECTIVO SITIO NO AUMENTEN SU CAPACIDAD ACTUAL EN MAS DEL 50% (CINCUENTA POR CIENTO)</t>
  </si>
  <si>
    <t>11- CONSTRUCCIÓN DE PLANTAS DE TRATAMIENTO DE LÍQUIDOS CLOACALES DISEÑADA PARA SERVIR A MÁS DE 10.000 (DIEZ MIL) HABITANTES</t>
  </si>
  <si>
    <t>12- CONSTRUCCIÓN DE PLANTAS DE TRATAMIENTO DE LÍQUIDOS Y/O LODOS DE EVACUACIÓN BAROMÉTRICA O AMPLIACIÓN DE LAS EXISTENTES</t>
  </si>
  <si>
    <t>13- EXTRACCIÓN DE MINERALES A CUALQUIER TÍTULO, CUANDO IMPLIQUE LA APERTURA DE MINAS (A CIELO ABIERTO, SUBTERRÁNEAS O SUBACUATICAS), LA REALIZACIÓN DE NUEVAS PERFORACIONES O EL REINICIO DE LA EXPLOTACIÓN DE MINAS (A CIELO ABIERTO, SUBTERRANEAS O SUBACUATICAS) O PERFORACIONES QUE HUBIERAN SIDO ABANDONADAS Y CUYA AUTORIZACIÓN ORIGINAL NO HUBIERA ESTADO SUJETA A EVALUACIÓN DEL IMPACTO AMBIENTAL. SE EXCEPTUA LA EXTRACCIÓN DE MATERIALES DE LA CLASE IV PREVISTA EN EL ARTÍCULO 7MO DEL CÓDIGO DE MINERÍA (DECRETO-LEY NRO. 15.242, DE 8 DE ENERO DE 1981), CUANDO SE REALICE EN ALVEOS DE DOMINIO PUBLICO, O, CUANDO SE EXTRAIGA MENOS DE 500 (QUINIENTOS) METROS CUBICOS SEMESTRALES DE LA FAJA DE DOMINIO PUBLICO DE RUTAS NACIONALES O DEPARTAMENTALES, ASÍCOMO DE CANTERAS DESTINADAS A OBRA PUBLICA BAJO ADMINISTRACIÓN DIRECTA DE ORGANISMOS OFICIALES</t>
  </si>
  <si>
    <t>14- EXTRACCIÓN DE MATERIALES DE LA CLASE IV PREVISTA EN EL ARTÍCULO 7MO DEL CÓDIGO DE MINERÍA (DECRETO-LEY NRO. 15.242, DE 8 DE ENERO DE 1981), DE LOS ALVÉOLOS DE DOMINIO PUBLICO DEL RÍO URUGUAY, RÍO DE LA PLATA, OCÉANO ATLÁNTICO Y LAGUNA MERÍN, ASÍ COMO LA EXTRACCIÓN EN OTROS CURSOS O CUERPOS DE AGUA EN ZONAS QUE HUBIERAN SIDO DEFINIDAS COMO DE USO RECREATIVO O TURÍSTICO POR LA AUTORIDAD DEPARTAMENTAL O LOCAL QUE CORRESPONDA.</t>
  </si>
  <si>
    <t>15- EXPLOTACIÓN DE COMBUSTIBLES FÓSILES CUALQUIERA SEA SU MÉTODO DE EXTRACCIÓN</t>
  </si>
  <si>
    <t>16- CONSTRUCCIÓN DE USINAS DE GENERACIÓN DE ELECTRICIDAD DE MÁS DE 10 (DIEZ) MEGAVATIOS, CUALQUIERA SEA SU FUENTE PRIMARIA</t>
  </si>
  <si>
    <t>17- CONSTRUCCIÓN DE USINAS DE PRODUCCIÓN Y TRANSFORMACIÓN DE ENERGÍA NUCLEAR, SIN PREJUICIO DE LO ESTABLECIDO POR EL ARTÍCULO 215 DE LA LEY NRO. 16.226, DE 29 DE OCTUBRE DE 1991</t>
  </si>
  <si>
    <t>18- CONSTRUCCIÓN DE LÍNEAS DE TRANSMISIÓN DE ENERGÍA ELÉCTRICA DE 150 (CIENTO CINCUENTA) KILOVOLTIOS O MÁS O LA RECTIFICACIÓN DEL TRAZADO DE LAS EXISTENTES</t>
  </si>
  <si>
    <t>19- CONSTRUCCIÓN DE UNIDADES O COMPLEJOS INDUSTRIALES O AGROINDUSTRIALES, O PUESTA EN FUNCIONAMIENTO DE UNIDADES QUE NO HUBIEREN OPERADO CONTINUAMENTE POR UN PERÍODO ININTERRUMPIDO DE MÁS DE 2 (DOS) AÑOS, QUE PRESENTEN ALGUNA DE LAS SIGUIENTES CARACTERÍSTICAS: A.MÁS DE UNA HECTÁREA DE DESARROLLO FABRIL, INCLUYENDO A ESOS EFECTOS, EL ÁREA CONSTRUIDA, LAS ÁREAS DE OPERACIONES LOGÍSTICAS Y LOS SISTEMAS DE TRATAMIENTO DE EMISIONES Y RESIDUOS; B.FUNDICIÓN DE METALES CON UNA CAPACIDAD DE PROCESAMIENTO MAYOR O IGUAL A 50 (CINCUENTA) TONELADAS ANUALES; C.FABRICACIÓN DE SUSTANCIAS O PRODUCTOS QUÍMICOS PELIGROSOS CUALQUIERA SEA SU CAPACIDAD DE PRODUCCIÓN; D.FRACCIONAMIENTO Y ALMACENAMIENTO DE SUSTANCIAS O MERCADERÍAS PELIGROSAS. LA DIRECCIÓN NACIONAL DE MEDIO AMBIENTE DETERMINARÍA ESTOS EFECTOS, EL LISTADO DE LOS PRODUCTOS Y MERCADERÍAS PELIGROSAS, PUDIENDO ESTABLECER CANTIDADES O CAPACIDADES ESPECÍFICAS</t>
  </si>
  <si>
    <t>20- INSTALACIÓN DE DEPÓSITOS DE SUSTANCIAS O MERCADERÍAS PELIGROSAS, REALICEN O NO FRACCIONAMIENTO DE LAS MISMAS. EL LISTADO DE TALES SUSTANCIAS Y MERCADERÍAS SERÁ DETERMINADO POR LA DIRECCIÓN NACIONAL DE MEDIO AMBIENTE, LA QUE PODRÁ ESTABLECER CANTIDADES O CAPACIDADES ESPECÍFICAS</t>
  </si>
  <si>
    <t>21- CONSTRUCCIÓN DE TERMINALES PUBLICAS DE CARGA Y DESCARGA Y DE TERMINALES DE PASAJEROS</t>
  </si>
  <si>
    <t>22- CONSTRUCCIÓN O AMPLIACIÓN DE ZONAS FRANCAS Y PARQUES INDUSTRIALES</t>
  </si>
  <si>
    <t>23- CONSTRUCCIÓN DE COMPLEJOS TURÍSTICOS Y RECREATIVOS</t>
  </si>
  <si>
    <t>24- IMPLANTACIÓN DE COMPLEJOS Y DESARROLLOS URBANÍSTICOS DE MÁS DE DIEZ (DIEZ) HECTÁREAS Y AQUELLOS DE MENOR SUPERFICIE CUANDO SE ENCUENTREN A UNA DISTANCIA DE HASTA 2.000 (DOS MIL) METROS DEL BORDE DE LA SUBURBANA DE UN CENTRO POBLADO EXISTENTE, INCLUYENDO LOS FRACCIONAMIENTO CON DESTINO A LA FORMACIÓN O AMPLIACIÓN DE UN CENTRO POBLADO Y EL ESTABLECIMIENTO DE CLUBES DE CAMPO O FRACCIONAMIENTOS PRIVADOS</t>
  </si>
  <si>
    <t>25- CONSTRUCCIÓN DE REPRESAS CON UNA CAPACIDAD DE EMBLASE DE MÁS DE 2 (DOS) MILLONES DE METROS CUBICOS O CUYO ESPEJO DE AGUA SUPERE LAS 100 (CIEN) HECTÁREAS</t>
  </si>
  <si>
    <t>26- CONSTRUCCIÓN DE CANALES, ACUEDUCTOS, SIFONES O ESTACIONES DE BOMBEO QUE SE UTILICEN PARA RIEGO, CUANDO CONDUZCAN MÁS DE 2 (DOS) METROS CUBICOS POR SEGUNDO</t>
  </si>
  <si>
    <t>27- INSTALACIÓN DE TOMAS DE AGUA, CON CAPACIDAD PARA EXTRAER MÁS DE 500 (QUINIENTOS) LITROS POR SEGUNDO RESPECTO DE LOS CURSOS DE AGUA SUPERFICIALES Y MÁS DE 50 (CINCUENTA) LITROS POR SEGUNDO PARA LAS TOMAS DE AGUA SUBTERRANEA</t>
  </si>
  <si>
    <t>SECCIONES</t>
  </si>
  <si>
    <t>FORMULARIO</t>
  </si>
  <si>
    <t>COMPLETAR</t>
  </si>
  <si>
    <t>BELGA</t>
  </si>
  <si>
    <t>CANADIENSE</t>
  </si>
  <si>
    <t>CHIPRIOTA</t>
  </si>
  <si>
    <t>ESTADOUNIDENSE</t>
  </si>
  <si>
    <t>KENIANO</t>
  </si>
  <si>
    <t>MACEDONIO</t>
  </si>
  <si>
    <t>MALGACHE</t>
  </si>
  <si>
    <t>SANMARINENSE</t>
  </si>
  <si>
    <t>SINGAPURENSE</t>
  </si>
  <si>
    <t>TRINITENSE</t>
  </si>
  <si>
    <t>UCRANIANO</t>
  </si>
  <si>
    <t>VIETNAMITA</t>
  </si>
  <si>
    <t>ZIMBABUENSE</t>
  </si>
  <si>
    <t>ANGOLEÑO</t>
  </si>
  <si>
    <t>BRASILEÑO</t>
  </si>
  <si>
    <t>BAHAMEÑO</t>
  </si>
  <si>
    <t>BANGLADESI</t>
  </si>
  <si>
    <t>BARBADENSE</t>
  </si>
  <si>
    <t>BAREINI</t>
  </si>
  <si>
    <t>BOSNIO</t>
  </si>
  <si>
    <t>CATARI</t>
  </si>
  <si>
    <t>COMORENSE</t>
  </si>
  <si>
    <t>CONGOLEÑO</t>
  </si>
  <si>
    <t>COSTARRICENCE</t>
  </si>
  <si>
    <t>CROATA</t>
  </si>
  <si>
    <t>EMIRATI</t>
  </si>
  <si>
    <t>ETIOPE</t>
  </si>
  <si>
    <t>IRAQUI</t>
  </si>
  <si>
    <t>IRANI</t>
  </si>
  <si>
    <t>SALMONOENSE</t>
  </si>
  <si>
    <t>ISRAELI</t>
  </si>
  <si>
    <t>JAMAICANO</t>
  </si>
  <si>
    <t>KIRGUIS</t>
  </si>
  <si>
    <t>KUWAITI</t>
  </si>
  <si>
    <t>LESOTENSE</t>
  </si>
  <si>
    <t>MALAUI</t>
  </si>
  <si>
    <t>MALIENSE</t>
  </si>
  <si>
    <t>MARROQUI</t>
  </si>
  <si>
    <t>NEPALES</t>
  </si>
  <si>
    <t>NICARAGÜENSE</t>
  </si>
  <si>
    <t>OMANI</t>
  </si>
  <si>
    <t>PALKISTANI</t>
  </si>
  <si>
    <t>PAPU</t>
  </si>
  <si>
    <t>SANTALUCENCE</t>
  </si>
  <si>
    <t>SANTOTOMENSE</t>
  </si>
  <si>
    <t>SEYCHELLENSE</t>
  </si>
  <si>
    <t>SOMALI</t>
  </si>
  <si>
    <t>CEILANES</t>
  </si>
  <si>
    <t>SUAZI</t>
  </si>
  <si>
    <t>TIMORENSE</t>
  </si>
  <si>
    <t>TURCOMANO</t>
  </si>
  <si>
    <t>VANUATUENSE</t>
  </si>
  <si>
    <t>YEMENI</t>
  </si>
  <si>
    <t xml:space="preserve">AFGANO </t>
  </si>
  <si>
    <t xml:space="preserve">ALBANÉS </t>
  </si>
  <si>
    <t xml:space="preserve">ALEMÁN </t>
  </si>
  <si>
    <t xml:space="preserve">ANDORRANO </t>
  </si>
  <si>
    <t xml:space="preserve">ANTIGUANO </t>
  </si>
  <si>
    <t xml:space="preserve">ARGELINO </t>
  </si>
  <si>
    <t xml:space="preserve">ARGENTINO </t>
  </si>
  <si>
    <t xml:space="preserve">ARMENIO </t>
  </si>
  <si>
    <t xml:space="preserve">AUSTRALIANO </t>
  </si>
  <si>
    <t xml:space="preserve">AZERBAIYANO </t>
  </si>
  <si>
    <t xml:space="preserve">BELICEÑO </t>
  </si>
  <si>
    <t xml:space="preserve">BENINÉS </t>
  </si>
  <si>
    <t xml:space="preserve">BIELORRUSO </t>
  </si>
  <si>
    <t xml:space="preserve">BIRMANO </t>
  </si>
  <si>
    <t xml:space="preserve">BOLIVIANO </t>
  </si>
  <si>
    <t xml:space="preserve">BOTSUANO </t>
  </si>
  <si>
    <t xml:space="preserve">BRITÁNICO </t>
  </si>
  <si>
    <t xml:space="preserve">BRUNEANO </t>
  </si>
  <si>
    <t xml:space="preserve">BÚLGARO </t>
  </si>
  <si>
    <t xml:space="preserve">BURKINÉS </t>
  </si>
  <si>
    <t xml:space="preserve">BURUNDÉS </t>
  </si>
  <si>
    <t xml:space="preserve">BUTANÉS </t>
  </si>
  <si>
    <t xml:space="preserve">CABOVERDIANO </t>
  </si>
  <si>
    <t xml:space="preserve">CAMBOYANO </t>
  </si>
  <si>
    <t xml:space="preserve">CAMERUNÉS </t>
  </si>
  <si>
    <t xml:space="preserve">CENTROAFRICANO </t>
  </si>
  <si>
    <t xml:space="preserve">CHADIANO </t>
  </si>
  <si>
    <t xml:space="preserve">CHECO </t>
  </si>
  <si>
    <t xml:space="preserve">CHILENO </t>
  </si>
  <si>
    <t xml:space="preserve">CHINO </t>
  </si>
  <si>
    <t xml:space="preserve">COLOMBIANO </t>
  </si>
  <si>
    <t xml:space="preserve">CUBANO </t>
  </si>
  <si>
    <t xml:space="preserve">DANÉS </t>
  </si>
  <si>
    <t xml:space="preserve">DOMINICANO </t>
  </si>
  <si>
    <t xml:space="preserve">DOMINIQUÉS </t>
  </si>
  <si>
    <t xml:space="preserve">ECUATOGUINEANO </t>
  </si>
  <si>
    <t xml:space="preserve">ECUATORIANO </t>
  </si>
  <si>
    <t xml:space="preserve">EGIPCIO </t>
  </si>
  <si>
    <t xml:space="preserve">ERITREO </t>
  </si>
  <si>
    <t xml:space="preserve">ESLOVACO </t>
  </si>
  <si>
    <t xml:space="preserve">ESLOVENO </t>
  </si>
  <si>
    <t xml:space="preserve">ESPAÑOL </t>
  </si>
  <si>
    <t xml:space="preserve">ESTONIO </t>
  </si>
  <si>
    <t xml:space="preserve">FILIPINO </t>
  </si>
  <si>
    <t xml:space="preserve">FINLANDÉS </t>
  </si>
  <si>
    <t xml:space="preserve">FIYIANO </t>
  </si>
  <si>
    <t xml:space="preserve">FRANCÉS </t>
  </si>
  <si>
    <t xml:space="preserve">GABONÉS </t>
  </si>
  <si>
    <t xml:space="preserve">GAMBIANO </t>
  </si>
  <si>
    <t xml:space="preserve">GEORGIANO </t>
  </si>
  <si>
    <t xml:space="preserve">GHANÉS </t>
  </si>
  <si>
    <t xml:space="preserve">GRANADINO </t>
  </si>
  <si>
    <t xml:space="preserve">GRIEGO </t>
  </si>
  <si>
    <t xml:space="preserve">GUATEMALTECO </t>
  </si>
  <si>
    <t xml:space="preserve">GUINEANO </t>
  </si>
  <si>
    <t xml:space="preserve">GUYANÉS </t>
  </si>
  <si>
    <t xml:space="preserve">HAITIANO </t>
  </si>
  <si>
    <t xml:space="preserve">HONDUREÑO </t>
  </si>
  <si>
    <t xml:space="preserve">HÚNGARO </t>
  </si>
  <si>
    <t xml:space="preserve">INDIO </t>
  </si>
  <si>
    <t xml:space="preserve">INDONESIO </t>
  </si>
  <si>
    <t xml:space="preserve">IRLANDÉS </t>
  </si>
  <si>
    <t xml:space="preserve">ISLANDÉS </t>
  </si>
  <si>
    <t xml:space="preserve">ITALIANO </t>
  </si>
  <si>
    <t xml:space="preserve">JAPONÉS </t>
  </si>
  <si>
    <t xml:space="preserve">JORDANO </t>
  </si>
  <si>
    <t xml:space="preserve">KAZAJO </t>
  </si>
  <si>
    <t xml:space="preserve">KIRIBATIANO </t>
  </si>
  <si>
    <t xml:space="preserve">LAOSIANO </t>
  </si>
  <si>
    <t xml:space="preserve">LETÓN </t>
  </si>
  <si>
    <t xml:space="preserve">LIBANÉS </t>
  </si>
  <si>
    <t xml:space="preserve">LIBERIANO </t>
  </si>
  <si>
    <t xml:space="preserve">LIBIO </t>
  </si>
  <si>
    <t xml:space="preserve">LIECHTENSTEINIANO </t>
  </si>
  <si>
    <t xml:space="preserve">LITUANO </t>
  </si>
  <si>
    <t xml:space="preserve">LUXEMBURGUÉS </t>
  </si>
  <si>
    <t xml:space="preserve">MALASIO </t>
  </si>
  <si>
    <t xml:space="preserve">MALDIVO </t>
  </si>
  <si>
    <t xml:space="preserve">MALTÉS </t>
  </si>
  <si>
    <t xml:space="preserve">MARFILEÑO </t>
  </si>
  <si>
    <t xml:space="preserve">MARSHALÉS </t>
  </si>
  <si>
    <t xml:space="preserve">MAURICIANO </t>
  </si>
  <si>
    <t xml:space="preserve">MAURITANO </t>
  </si>
  <si>
    <t xml:space="preserve">MEXICANO </t>
  </si>
  <si>
    <t xml:space="preserve">MICRONESIO </t>
  </si>
  <si>
    <t xml:space="preserve">MOLDAVO </t>
  </si>
  <si>
    <t xml:space="preserve">MONEGASCO </t>
  </si>
  <si>
    <t xml:space="preserve">MONGOL </t>
  </si>
  <si>
    <t xml:space="preserve">MONTENEGRINO </t>
  </si>
  <si>
    <t xml:space="preserve">MOZAMBIQUEÑO </t>
  </si>
  <si>
    <t xml:space="preserve">NAMIBIO </t>
  </si>
  <si>
    <t xml:space="preserve">NAURUANO </t>
  </si>
  <si>
    <t xml:space="preserve">NEERLANDÉS </t>
  </si>
  <si>
    <t xml:space="preserve">NEOZELANDÉS </t>
  </si>
  <si>
    <t xml:space="preserve">NIGERIANO </t>
  </si>
  <si>
    <t xml:space="preserve">NIGERINO </t>
  </si>
  <si>
    <t xml:space="preserve">NORCOREANO </t>
  </si>
  <si>
    <t xml:space="preserve">NORUEGO </t>
  </si>
  <si>
    <t xml:space="preserve">PALAUANO </t>
  </si>
  <si>
    <t xml:space="preserve">PANAMEÑO </t>
  </si>
  <si>
    <t xml:space="preserve">PARAGUAYO </t>
  </si>
  <si>
    <t xml:space="preserve">PERUANO </t>
  </si>
  <si>
    <t xml:space="preserve">POLACO </t>
  </si>
  <si>
    <t xml:space="preserve">PORTUGUÉS </t>
  </si>
  <si>
    <t xml:space="preserve">RUANDÉS </t>
  </si>
  <si>
    <t xml:space="preserve">RUMANO </t>
  </si>
  <si>
    <t xml:space="preserve">RUSO </t>
  </si>
  <si>
    <t xml:space="preserve">SALVADOREÑO </t>
  </si>
  <si>
    <t xml:space="preserve">SAMOANO </t>
  </si>
  <si>
    <t xml:space="preserve">SANCRISTOBALEÑO </t>
  </si>
  <si>
    <t xml:space="preserve">SANVICENTINO </t>
  </si>
  <si>
    <t xml:space="preserve">SENEGALÉS </t>
  </si>
  <si>
    <t xml:space="preserve">SERBIO </t>
  </si>
  <si>
    <t xml:space="preserve">SIERRALEONÉS </t>
  </si>
  <si>
    <t xml:space="preserve">SIRIO </t>
  </si>
  <si>
    <t xml:space="preserve">SUDAFRICANO </t>
  </si>
  <si>
    <t xml:space="preserve">SUDANÉS </t>
  </si>
  <si>
    <t xml:space="preserve">SUECO </t>
  </si>
  <si>
    <t xml:space="preserve">SUIZO </t>
  </si>
  <si>
    <t xml:space="preserve">SURCOREANO </t>
  </si>
  <si>
    <t xml:space="preserve">SURINAMÉS </t>
  </si>
  <si>
    <t xml:space="preserve">SURSUDANÉS </t>
  </si>
  <si>
    <t xml:space="preserve">TAILANDÉS </t>
  </si>
  <si>
    <t xml:space="preserve">TANZANO </t>
  </si>
  <si>
    <t xml:space="preserve">TAYIKO </t>
  </si>
  <si>
    <t xml:space="preserve">TOGOLÉS </t>
  </si>
  <si>
    <t xml:space="preserve">TONGANO </t>
  </si>
  <si>
    <t xml:space="preserve">TUNECINO </t>
  </si>
  <si>
    <t xml:space="preserve">TURCO </t>
  </si>
  <si>
    <t xml:space="preserve">TUVALUANO </t>
  </si>
  <si>
    <t xml:space="preserve">UGANDÉS </t>
  </si>
  <si>
    <t xml:space="preserve">URUGUAYO </t>
  </si>
  <si>
    <t xml:space="preserve">UZBEKO </t>
  </si>
  <si>
    <t xml:space="preserve">VATICANO </t>
  </si>
  <si>
    <t xml:space="preserve">VENEZOLANO </t>
  </si>
  <si>
    <t xml:space="preserve">YIBUTIANO </t>
  </si>
  <si>
    <t xml:space="preserve">ZAMBIANO </t>
  </si>
  <si>
    <t>SAUDÍ</t>
  </si>
  <si>
    <t>AUSTRIACO</t>
  </si>
  <si>
    <t>nacionalidades</t>
  </si>
  <si>
    <t>departamentos</t>
  </si>
  <si>
    <t>ARTIGAS</t>
  </si>
  <si>
    <t>CANELONES</t>
  </si>
  <si>
    <t>CERRO LARGO</t>
  </si>
  <si>
    <t>COLONIA</t>
  </si>
  <si>
    <t>DURAZNO</t>
  </si>
  <si>
    <t>FLORES</t>
  </si>
  <si>
    <t>FLORIDA</t>
  </si>
  <si>
    <t>LAVALLEJA</t>
  </si>
  <si>
    <t>MALDONADO</t>
  </si>
  <si>
    <t>MONTEVIDEO</t>
  </si>
  <si>
    <t>RIVERA</t>
  </si>
  <si>
    <t>ROCHA</t>
  </si>
  <si>
    <t>SALTO</t>
  </si>
  <si>
    <t>SORIANO</t>
  </si>
  <si>
    <t>TREINTA Y TRES</t>
  </si>
  <si>
    <t>TACUAREMBO</t>
  </si>
  <si>
    <t>SAN JOSE</t>
  </si>
  <si>
    <t>RIO NEGRO</t>
  </si>
  <si>
    <t>PAYSANDU</t>
  </si>
  <si>
    <t>LICENCIADO/A EN RECURSOS NATURALES</t>
  </si>
  <si>
    <t>ARQUITECTO/A</t>
  </si>
  <si>
    <t>DOCTOR/A EN CIENCIAS VETERINARIAS</t>
  </si>
  <si>
    <t>DOCTOR/A EN MEDICINA</t>
  </si>
  <si>
    <t>INGENIERO/A AGRIMENSOR</t>
  </si>
  <si>
    <t>INGENIERO/A ALIMENTARIO</t>
  </si>
  <si>
    <t>INGENIERO/A CIVIL</t>
  </si>
  <si>
    <t>INGENIERO/A ELECTRICISTA</t>
  </si>
  <si>
    <t>INGENIERO/A INDUSTRIAL</t>
  </si>
  <si>
    <t>INGENIERO/A NAVAL</t>
  </si>
  <si>
    <t>LICENCIADO/A EN CIENCIAS SOCIALES</t>
  </si>
  <si>
    <t>LICENCIADO/A EN DESARROLLO</t>
  </si>
  <si>
    <t>LICENCIADO/A EN TRABAJO SOCIAL</t>
  </si>
  <si>
    <t>INGENIERO CIVIL</t>
  </si>
  <si>
    <t>INGENIERO CIVIL H/S</t>
  </si>
  <si>
    <t>INGENIERO CIVIL H/A</t>
  </si>
  <si>
    <t>ABOGADO/A</t>
  </si>
  <si>
    <t>profesion</t>
  </si>
  <si>
    <t>OTRA PROFESION</t>
  </si>
  <si>
    <t>1-ÁREAS PROTEGIDAS</t>
  </si>
  <si>
    <t>2-FLORA O FAUNA SINGULARES</t>
  </si>
  <si>
    <t>3-CUERPOS DE AGUA</t>
  </si>
  <si>
    <t>4-ZONAS CON CALIDAD DE AIRE COMPROMETIDA</t>
  </si>
  <si>
    <t>5-ZONAS CON ELEMENTOS DE INTERÉS HISTÓRICO CULTURAL</t>
  </si>
  <si>
    <t>6-PAISAJES SINGULARES</t>
  </si>
  <si>
    <t>7-USOS DEL SUELO EN EL ÁREA DE INFLUENCIA DEL PROYECTO</t>
  </si>
  <si>
    <t>8-SERVICIOS PARA LA COMUNIDAD</t>
  </si>
  <si>
    <t>elementos_int</t>
  </si>
  <si>
    <t>PERSONA FÍSICA Y JURIDICA completar además…</t>
  </si>
  <si>
    <t>INSTALACION</t>
  </si>
  <si>
    <t>OPERACIÓN</t>
  </si>
  <si>
    <t>ABANDONO</t>
  </si>
  <si>
    <t>MEDIDAS DE MITIGACION</t>
  </si>
  <si>
    <t>IMPACTO</t>
  </si>
  <si>
    <t>VALORACION IMPACTO</t>
  </si>
  <si>
    <t>COMPLETAR…</t>
  </si>
  <si>
    <t>.-PERSONA FISICA-.</t>
  </si>
  <si>
    <t>.-PERSONA JURIDICA-.</t>
  </si>
  <si>
    <t>Elementos</t>
  </si>
  <si>
    <t>Descripcion</t>
  </si>
  <si>
    <t>Distancia en km</t>
  </si>
  <si>
    <t>AMBITO SECUNDARIO</t>
  </si>
  <si>
    <t>TELEFONO*</t>
  </si>
  <si>
    <r>
      <t>NACIONALIDAD</t>
    </r>
    <r>
      <rPr>
        <sz val="12"/>
        <color rgb="FFFF0000"/>
        <rFont val="Calibri"/>
        <family val="2"/>
        <scheme val="minor"/>
      </rPr>
      <t>*</t>
    </r>
  </si>
  <si>
    <r>
      <t>TIPO DE DOCUMENTO</t>
    </r>
    <r>
      <rPr>
        <sz val="12"/>
        <color rgb="FFFF0000"/>
        <rFont val="Calibri"/>
        <family val="2"/>
        <scheme val="minor"/>
      </rPr>
      <t>*</t>
    </r>
  </si>
  <si>
    <r>
      <t>NUMERO DE DOCUMENTO</t>
    </r>
    <r>
      <rPr>
        <sz val="12"/>
        <color rgb="FFFF0000"/>
        <rFont val="Calibri"/>
        <family val="2"/>
        <scheme val="minor"/>
      </rPr>
      <t>*</t>
    </r>
  </si>
  <si>
    <r>
      <t>NOMBRES</t>
    </r>
    <r>
      <rPr>
        <sz val="12"/>
        <color rgb="FFFF0000"/>
        <rFont val="Calibri"/>
        <family val="2"/>
        <scheme val="minor"/>
      </rPr>
      <t>*</t>
    </r>
  </si>
  <si>
    <r>
      <t>APELLIDOS</t>
    </r>
    <r>
      <rPr>
        <sz val="12"/>
        <color rgb="FFFF0000"/>
        <rFont val="Calibri"/>
        <family val="2"/>
        <scheme val="minor"/>
      </rPr>
      <t>*</t>
    </r>
  </si>
  <si>
    <r>
      <t>RUT</t>
    </r>
    <r>
      <rPr>
        <sz val="12"/>
        <color rgb="FFFF0000"/>
        <rFont val="Calibri"/>
        <family val="2"/>
        <scheme val="minor"/>
      </rPr>
      <t>*</t>
    </r>
  </si>
  <si>
    <r>
      <t>RAZON SOCIAL</t>
    </r>
    <r>
      <rPr>
        <sz val="12"/>
        <color rgb="FFFF0000"/>
        <rFont val="Calibri"/>
        <family val="2"/>
        <scheme val="minor"/>
      </rPr>
      <t>*</t>
    </r>
  </si>
  <si>
    <r>
      <t>DEPARTAMENTO</t>
    </r>
    <r>
      <rPr>
        <sz val="12"/>
        <color rgb="FFFF0000"/>
        <rFont val="Calibri"/>
        <family val="2"/>
        <scheme val="minor"/>
      </rPr>
      <t>*</t>
    </r>
  </si>
  <si>
    <r>
      <t>LOCALIDAD</t>
    </r>
    <r>
      <rPr>
        <sz val="12"/>
        <color rgb="FFFF0000"/>
        <rFont val="Calibri"/>
        <family val="2"/>
        <scheme val="minor"/>
      </rPr>
      <t>*</t>
    </r>
  </si>
  <si>
    <r>
      <t>DOMICILIO</t>
    </r>
    <r>
      <rPr>
        <sz val="12"/>
        <color rgb="FFFF0000"/>
        <rFont val="Calibri"/>
        <family val="2"/>
        <scheme val="minor"/>
      </rPr>
      <t>*</t>
    </r>
  </si>
  <si>
    <r>
      <t>TELEFONO</t>
    </r>
    <r>
      <rPr>
        <sz val="12"/>
        <color rgb="FFFF0000"/>
        <rFont val="Calibri"/>
        <family val="2"/>
        <scheme val="minor"/>
      </rPr>
      <t>*</t>
    </r>
  </si>
  <si>
    <r>
      <t>FAX</t>
    </r>
    <r>
      <rPr>
        <sz val="12"/>
        <color rgb="FFFF0000"/>
        <rFont val="Calibri"/>
        <family val="2"/>
        <scheme val="minor"/>
      </rPr>
      <t>*</t>
    </r>
  </si>
  <si>
    <r>
      <t>CELULAR</t>
    </r>
    <r>
      <rPr>
        <sz val="12"/>
        <color rgb="FFFF0000"/>
        <rFont val="Calibri"/>
        <family val="2"/>
        <scheme val="minor"/>
      </rPr>
      <t>*</t>
    </r>
  </si>
  <si>
    <r>
      <t>EMAIL</t>
    </r>
    <r>
      <rPr>
        <sz val="12"/>
        <color rgb="FFFF0000"/>
        <rFont val="Calibri"/>
        <family val="2"/>
        <scheme val="minor"/>
      </rPr>
      <t>*</t>
    </r>
  </si>
  <si>
    <r>
      <t>NOMBRE DEL PROYECTO</t>
    </r>
    <r>
      <rPr>
        <sz val="12"/>
        <color rgb="FFFF0000"/>
        <rFont val="Calibri"/>
        <family val="2"/>
        <scheme val="minor"/>
      </rPr>
      <t>*</t>
    </r>
  </si>
  <si>
    <r>
      <t>AMBITO PRINCIPAL</t>
    </r>
    <r>
      <rPr>
        <sz val="12"/>
        <color rgb="FFFF0000"/>
        <rFont val="Calibri"/>
        <family val="2"/>
        <scheme val="minor"/>
      </rPr>
      <t>*</t>
    </r>
  </si>
  <si>
    <r>
      <t>OBJETIVO</t>
    </r>
    <r>
      <rPr>
        <sz val="12"/>
        <color rgb="FFFF0000"/>
        <rFont val="Calibri"/>
        <family val="2"/>
        <scheme val="minor"/>
      </rPr>
      <t>*</t>
    </r>
  </si>
  <si>
    <r>
      <t>RESUMEN</t>
    </r>
    <r>
      <rPr>
        <sz val="12"/>
        <color rgb="FFFF0000"/>
        <rFont val="Calibri"/>
        <family val="2"/>
        <scheme val="minor"/>
      </rPr>
      <t>*</t>
    </r>
  </si>
  <si>
    <r>
      <t>CLASIFICACION</t>
    </r>
    <r>
      <rPr>
        <sz val="12"/>
        <color rgb="FFFF0000"/>
        <rFont val="Calibri"/>
        <family val="2"/>
        <scheme val="minor"/>
      </rPr>
      <t>*</t>
    </r>
  </si>
  <si>
    <r>
      <t>JUSTIFICACION</t>
    </r>
    <r>
      <rPr>
        <sz val="12"/>
        <color rgb="FFFF0000"/>
        <rFont val="Calibri"/>
        <family val="2"/>
        <scheme val="minor"/>
      </rPr>
      <t>*</t>
    </r>
  </si>
  <si>
    <t>NOMBRE DEL PROYECTO</t>
  </si>
  <si>
    <r>
      <t>PROFESION</t>
    </r>
    <r>
      <rPr>
        <sz val="12"/>
        <color rgb="FFFF0000"/>
        <rFont val="Calibri"/>
        <family val="2"/>
        <scheme val="minor"/>
      </rPr>
      <t>*</t>
    </r>
  </si>
  <si>
    <r>
      <t>OTRA PROFESION</t>
    </r>
    <r>
      <rPr>
        <sz val="12"/>
        <color rgb="FFFF0000"/>
        <rFont val="Calibri"/>
        <family val="2"/>
        <scheme val="minor"/>
      </rPr>
      <t>*</t>
    </r>
  </si>
  <si>
    <t>PARAJE</t>
  </si>
  <si>
    <t>SOLAR</t>
  </si>
  <si>
    <t>MANZANA</t>
  </si>
  <si>
    <t>SECC. JUD.</t>
  </si>
  <si>
    <t>SECC. CAT.</t>
  </si>
  <si>
    <r>
      <t>TIPO</t>
    </r>
    <r>
      <rPr>
        <sz val="12"/>
        <color rgb="FFFF0000"/>
        <rFont val="Calibri"/>
        <family val="2"/>
        <scheme val="minor"/>
      </rPr>
      <t>*</t>
    </r>
  </si>
  <si>
    <r>
      <t>DIRECCION</t>
    </r>
    <r>
      <rPr>
        <sz val="12"/>
        <color rgb="FFFF0000"/>
        <rFont val="Calibri"/>
        <family val="2"/>
        <scheme val="minor"/>
      </rPr>
      <t>*</t>
    </r>
  </si>
  <si>
    <r>
      <t>NRO. PADRON</t>
    </r>
    <r>
      <rPr>
        <sz val="12"/>
        <color rgb="FFFF0000"/>
        <rFont val="Calibri"/>
        <family val="2"/>
        <scheme val="minor"/>
      </rPr>
      <t>*</t>
    </r>
  </si>
  <si>
    <t>ESCRIBA UNA LINEA POR NUMERO DE PADRON</t>
  </si>
  <si>
    <r>
      <t>ES VAL?</t>
    </r>
    <r>
      <rPr>
        <sz val="12"/>
        <color rgb="FFFF0000"/>
        <rFont val="Calibri"/>
        <family val="2"/>
        <scheme val="minor"/>
      </rPr>
      <t>*</t>
    </r>
  </si>
  <si>
    <t>RUTA NACIONAL DE ACCESO AL PADRON (SI ES RURAL)</t>
  </si>
  <si>
    <t>DISTANCIA EN km DESDE LA RUTA AL PADRON</t>
  </si>
  <si>
    <t>CENTRO POBLADO MAS CERCANO AL PADRON (SI ES RURAL)</t>
  </si>
  <si>
    <t>DISTANCIA EN km DESDE EL CENTRO POBLADO</t>
  </si>
  <si>
    <t>PUNTO 2 - LATITUD (Y)</t>
  </si>
  <si>
    <t>PUNTO 2 - LONGITUD (X)</t>
  </si>
  <si>
    <t>PUNTO 3 - LATITUD (Y)</t>
  </si>
  <si>
    <t>PUNTO 3 - LONGITUD (X)</t>
  </si>
  <si>
    <t>PUNTO 4 - LATITUD (Y)</t>
  </si>
  <si>
    <t>PUNTO 4 - LONGITUD (X)</t>
  </si>
  <si>
    <t>PUNTO 5 - LATITUD (Y)</t>
  </si>
  <si>
    <t>PUNTO 5 - LONGITUD (X)</t>
  </si>
  <si>
    <t>PUNTO 6 - LATITUD (Y)</t>
  </si>
  <si>
    <t>PUNTO 6 - LONGITUD (X)</t>
  </si>
  <si>
    <t>formato -XX.XXXXXX</t>
  </si>
  <si>
    <t>grados decimales</t>
  </si>
  <si>
    <r>
      <rPr>
        <sz val="12"/>
        <color rgb="FFFF0000"/>
        <rFont val="Calibri"/>
        <family val="2"/>
        <scheme val="minor"/>
      </rPr>
      <t>*</t>
    </r>
    <r>
      <rPr>
        <sz val="12"/>
        <color theme="1"/>
        <rFont val="Calibri"/>
        <family val="2"/>
        <scheme val="minor"/>
      </rPr>
      <t>PUNTO PRINCIPAL - LATITUD (Y)</t>
    </r>
  </si>
  <si>
    <r>
      <rPr>
        <sz val="12"/>
        <color rgb="FFFF0000"/>
        <rFont val="Calibri"/>
        <family val="2"/>
        <scheme val="minor"/>
      </rPr>
      <t>*</t>
    </r>
    <r>
      <rPr>
        <sz val="12"/>
        <color theme="1"/>
        <rFont val="Calibri"/>
        <family val="2"/>
        <scheme val="minor"/>
      </rPr>
      <t>PUNTO PRINCIPAL - LONGITUD (X)</t>
    </r>
  </si>
  <si>
    <t xml:space="preserve">DISTANCIA A LINEA DE RIBERA COSTA (metros) </t>
  </si>
  <si>
    <t>MAXIMA CRECIENTE CONOCIDA (metros)</t>
  </si>
  <si>
    <t>DESCRIPCION DE LOS INSTRUMENTOS</t>
  </si>
  <si>
    <t>ES FAJA DE DEFENSA DE COSTAS?</t>
  </si>
  <si>
    <t>HAY INSTRUMENTOS DE ORD. T. VIGENTES?</t>
  </si>
  <si>
    <t>Agua Superficial</t>
  </si>
  <si>
    <t>Agua Subterranea</t>
  </si>
  <si>
    <t>Aire</t>
  </si>
  <si>
    <t>Suelo</t>
  </si>
  <si>
    <t>Geomorfologia</t>
  </si>
  <si>
    <t>Fauna</t>
  </si>
  <si>
    <t>Vegetacion</t>
  </si>
  <si>
    <t>Biodiversidad</t>
  </si>
  <si>
    <t>Empleo</t>
  </si>
  <si>
    <t>Paisaje</t>
  </si>
  <si>
    <t>Patrimonio Cultural</t>
  </si>
  <si>
    <t>Otros</t>
  </si>
  <si>
    <t>Demanda de Servicios</t>
  </si>
  <si>
    <t>BIOQUÍMICO/A CLÍNICO</t>
  </si>
  <si>
    <t>INGENIERO/A QUÍMICO</t>
  </si>
  <si>
    <t>LICENCIADO/A EN BIOLOGÍA HUMANA</t>
  </si>
  <si>
    <t>LICENCIADO/A EN BIOQUÍMICA</t>
  </si>
  <si>
    <t>LICENCIADO/A EN BIOTECNOLOGÍA</t>
  </si>
  <si>
    <t>LICENCIADO/A EN ECONOMÍA</t>
  </si>
  <si>
    <t>LICENCIADO/A EN GEOLOGÍA</t>
  </si>
  <si>
    <t>LICENCIADO/A EN GEOGRAFÍA</t>
  </si>
  <si>
    <t>LICENCIADO/A EN QUÍMICA</t>
  </si>
  <si>
    <t>LICENCIADO/A EN SOCIOLOGÍA</t>
  </si>
  <si>
    <t>QUÍMICO/A</t>
  </si>
  <si>
    <t>INGENIERO QUÍMICO</t>
  </si>
  <si>
    <t>LICENCIADO/A EN RECURSOS HÍDRICOS Y RIEGO</t>
  </si>
  <si>
    <t>CONTADOR/A PÚBLICO</t>
  </si>
  <si>
    <t>INGENIERO/A AGRONOMO</t>
  </si>
  <si>
    <t>INGENIERO/A EN ELECTRONICA</t>
  </si>
  <si>
    <t>INGENIERO/A EN TELECOMUNICACION</t>
  </si>
  <si>
    <t>LICENCIADO/A EN ADMINISTRACION - CONTADOR</t>
  </si>
  <si>
    <t>LICENCIADO/A EN CIENCIAS BIOLOGICAS</t>
  </si>
  <si>
    <t>LICENCIADO/A EN CIENCIAS DE LA ATMOSFERA</t>
  </si>
  <si>
    <t>LICENCIADO/A EN DIRECCION Y ADMINISTRACION DE EMPRESAS</t>
  </si>
  <si>
    <t>LICENCIADO/A EN DIRECCION DE EMPRESAS</t>
  </si>
  <si>
    <t>LICENCIADO/A EN DIRECCION DE EMPRESAS TURÍSTICAS</t>
  </si>
  <si>
    <t>LICENCIADO/A EN FÍSICA OPCION ASTRONOMÍA</t>
  </si>
  <si>
    <t>LICENCIADO/A EN FÍSICA OPCION FÍSICA</t>
  </si>
  <si>
    <t>LICENCIADO/A EN GESTION AGROPECUARIA</t>
  </si>
  <si>
    <t>LICENCIADO/A EN OCEANOGRAFÍA BIOLOGICA</t>
  </si>
  <si>
    <t>TECNOLOGO EN SALUD OCUPACIONAL</t>
  </si>
  <si>
    <t>ARQUEOLOGO/A</t>
  </si>
  <si>
    <t>LICENCIATURA EN GESTION AMBIENTAL</t>
  </si>
  <si>
    <t>INGENIERO/A DE PRODUCCION</t>
  </si>
  <si>
    <t>INGENIERO/A CIVIL HIDRAULICO AMBIENTAL</t>
  </si>
  <si>
    <t>INGENIERO/A CIVIL HIDRAULICO SANITARIO</t>
  </si>
  <si>
    <t>INGENIERO INDUSTRIAL MECANICO</t>
  </si>
  <si>
    <t>INGENIERO/A TELEMATICA</t>
  </si>
  <si>
    <t>TECNOLOGO/A MECANICO</t>
  </si>
  <si>
    <t>INGENIERO/A EN SISTEMAS ELECTRICOS DE POTENCIA</t>
  </si>
  <si>
    <t>QUÍMICO/A FARMACEUTICO</t>
  </si>
  <si>
    <t>TECNICO/A EN GESTION DE RECURSOS NATURALES</t>
  </si>
  <si>
    <t>TECNICO PREVENCIONISTA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</si>
</sst>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
      <sz val="12"/>
      <color theme="1"/>
      <name val="Calibri"/>
      <family val="2"/>
      <scheme val="minor"/>
    </font>
    <font>
      <sz val="12"/>
      <color rgb="FFFF0000"/>
      <name val="Calibri"/>
      <family val="2"/>
      <scheme val="minor"/>
    </font>
    <font>
      <sz val="11"/>
      <color theme="0" tint="-0.499984740745262"/>
      <name val="Calibri"/>
      <family val="2"/>
      <scheme val="minor"/>
    </font>
    <font>
      <i/>
      <sz val="12"/>
      <color theme="0" tint="-0.499984740745262"/>
      <name val="Calibri"/>
      <family val="2"/>
      <scheme val="minor"/>
    </font>
    <font>
      <i/>
      <sz val="12"/>
      <color theme="0" tint="-0.34998626667073579"/>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4.9989318521683403E-2"/>
        <bgColor indexed="64"/>
      </patternFill>
    </fill>
  </fills>
  <borders count="25">
    <border>
      <left/>
      <right/>
      <top/>
      <bottom/>
      <diagonal/>
    </border>
    <border>
      <left style="medium">
        <color theme="9" tint="0.39997558519241921"/>
      </left>
      <right style="medium">
        <color theme="9" tint="0.39997558519241921"/>
      </right>
      <top style="medium">
        <color theme="9" tint="0.39997558519241921"/>
      </top>
      <bottom style="medium">
        <color theme="9" tint="0.39997558519241921"/>
      </bottom>
      <diagonal/>
    </border>
    <border>
      <left style="thick">
        <color theme="9" tint="0.39997558519241921"/>
      </left>
      <right style="thick">
        <color theme="9" tint="0.39997558519241921"/>
      </right>
      <top/>
      <bottom style="thick">
        <color theme="9" tint="0.39997558519241921"/>
      </bottom>
      <diagonal/>
    </border>
    <border>
      <left style="thick">
        <color theme="9" tint="0.39997558519241921"/>
      </left>
      <right style="thick">
        <color theme="9" tint="0.39997558519241921"/>
      </right>
      <top style="thick">
        <color theme="9" tint="0.39997558519241921"/>
      </top>
      <bottom/>
      <diagonal/>
    </border>
    <border>
      <left style="medium">
        <color theme="9" tint="0.39997558519241921"/>
      </left>
      <right style="medium">
        <color theme="9" tint="0.39997558519241921"/>
      </right>
      <top/>
      <bottom style="medium">
        <color theme="9" tint="0.39997558519241921"/>
      </bottom>
      <diagonal/>
    </border>
    <border>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theme="9" tint="0.39997558519241921"/>
      </bottom>
      <diagonal/>
    </border>
    <border>
      <left style="medium">
        <color indexed="64"/>
      </left>
      <right style="medium">
        <color indexed="64"/>
      </right>
      <top style="medium">
        <color theme="9" tint="0.39997558519241921"/>
      </top>
      <bottom style="medium">
        <color theme="9" tint="0.39997558519241921"/>
      </bottom>
      <diagonal/>
    </border>
    <border>
      <left style="medium">
        <color indexed="64"/>
      </left>
      <right style="medium">
        <color indexed="64"/>
      </right>
      <top style="medium">
        <color theme="9" tint="0.39997558519241921"/>
      </top>
      <bottom style="medium">
        <color indexed="64"/>
      </bottom>
      <diagonal/>
    </border>
    <border>
      <left style="medium">
        <color indexed="64"/>
      </left>
      <right style="medium">
        <color indexed="64"/>
      </right>
      <top/>
      <bottom style="medium">
        <color theme="9" tint="0.39997558519241921"/>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9" tint="-0.249977111117893"/>
      </left>
      <right style="medium">
        <color theme="9" tint="-0.249977111117893"/>
      </right>
      <top style="medium">
        <color theme="9" tint="-0.249977111117893"/>
      </top>
      <bottom style="medium">
        <color theme="9" tint="-0.249977111117893"/>
      </bottom>
      <diagonal/>
    </border>
    <border>
      <left style="medium">
        <color indexed="64"/>
      </left>
      <right/>
      <top/>
      <bottom/>
      <diagonal/>
    </border>
    <border>
      <left style="medium">
        <color indexed="64"/>
      </left>
      <right style="medium">
        <color theme="9" tint="-0.249977111117893"/>
      </right>
      <top style="medium">
        <color theme="9" tint="-0.249977111117893"/>
      </top>
      <bottom style="medium">
        <color theme="9" tint="-0.249977111117893"/>
      </bottom>
      <diagonal/>
    </border>
    <border>
      <left style="medium">
        <color theme="9" tint="-0.249977111117893"/>
      </left>
      <right style="medium">
        <color indexed="64"/>
      </right>
      <top style="medium">
        <color theme="9" tint="-0.249977111117893"/>
      </top>
      <bottom style="medium">
        <color theme="9" tint="-0.249977111117893"/>
      </bottom>
      <diagonal/>
    </border>
    <border>
      <left style="medium">
        <color indexed="64"/>
      </left>
      <right style="medium">
        <color theme="9" tint="-0.249977111117893"/>
      </right>
      <top style="medium">
        <color theme="9" tint="-0.249977111117893"/>
      </top>
      <bottom style="medium">
        <color indexed="64"/>
      </bottom>
      <diagonal/>
    </border>
    <border>
      <left style="medium">
        <color theme="9" tint="-0.249977111117893"/>
      </left>
      <right style="medium">
        <color theme="9" tint="-0.249977111117893"/>
      </right>
      <top style="medium">
        <color theme="9" tint="-0.249977111117893"/>
      </top>
      <bottom style="medium">
        <color indexed="64"/>
      </bottom>
      <diagonal/>
    </border>
    <border>
      <left style="medium">
        <color theme="9" tint="-0.249977111117893"/>
      </left>
      <right style="medium">
        <color indexed="64"/>
      </right>
      <top style="medium">
        <color theme="9" tint="-0.249977111117893"/>
      </top>
      <bottom style="medium">
        <color indexed="64"/>
      </bottom>
      <diagonal/>
    </border>
    <border>
      <left/>
      <right/>
      <top/>
      <bottom style="thick">
        <color theme="9" tint="0.39997558519241921"/>
      </bottom>
      <diagonal/>
    </border>
  </borders>
  <cellStyleXfs count="1">
    <xf numFmtId="0" fontId="0" fillId="0" borderId="0"/>
  </cellStyleXfs>
  <cellXfs count="73">
    <xf numFmtId="0" fontId="0" fillId="0" borderId="0" xfId="0"/>
    <xf numFmtId="0" fontId="1" fillId="0" borderId="0" xfId="0" applyFont="1" applyAlignment="1">
      <alignment horizontal="center"/>
    </xf>
    <xf numFmtId="0" fontId="2" fillId="0" borderId="0" xfId="0" applyFont="1"/>
    <xf numFmtId="0" fontId="2" fillId="2" borderId="0" xfId="0" applyFont="1" applyFill="1"/>
    <xf numFmtId="0" fontId="2" fillId="0" borderId="1" xfId="0" applyFont="1" applyBorder="1"/>
    <xf numFmtId="0" fontId="0" fillId="0" borderId="1" xfId="0" applyBorder="1"/>
    <xf numFmtId="0" fontId="2" fillId="2" borderId="3" xfId="0" applyFont="1" applyFill="1" applyBorder="1"/>
    <xf numFmtId="0" fontId="0" fillId="0" borderId="2" xfId="0" applyBorder="1"/>
    <xf numFmtId="0" fontId="0" fillId="0" borderId="0" xfId="0" applyFill="1"/>
    <xf numFmtId="0" fontId="1" fillId="0" borderId="0" xfId="0" applyFont="1"/>
    <xf numFmtId="0" fontId="2" fillId="0" borderId="1" xfId="0" applyFont="1" applyFill="1" applyBorder="1"/>
    <xf numFmtId="0" fontId="0" fillId="0" borderId="0" xfId="0" applyBorder="1"/>
    <xf numFmtId="0" fontId="2" fillId="0" borderId="0" xfId="0" applyFont="1" applyAlignment="1">
      <alignment horizontal="center"/>
    </xf>
    <xf numFmtId="0" fontId="2" fillId="0" borderId="0" xfId="0" applyFont="1" applyBorder="1"/>
    <xf numFmtId="0" fontId="2" fillId="0" borderId="0" xfId="0" applyFont="1" applyAlignment="1">
      <alignment vertical="center"/>
    </xf>
    <xf numFmtId="0" fontId="0" fillId="0" borderId="0" xfId="0" applyAlignment="1">
      <alignment vertical="center"/>
    </xf>
    <xf numFmtId="0" fontId="2" fillId="0" borderId="0" xfId="0" applyFont="1" applyFill="1" applyBorder="1" applyAlignment="1">
      <alignment vertical="center"/>
    </xf>
    <xf numFmtId="0" fontId="2" fillId="2" borderId="4" xfId="0" applyFont="1" applyFill="1" applyBorder="1"/>
    <xf numFmtId="0" fontId="2" fillId="0" borderId="5" xfId="0" applyFont="1" applyBorder="1"/>
    <xf numFmtId="0" fontId="2" fillId="0" borderId="4" xfId="0" applyFont="1" applyFill="1" applyBorder="1"/>
    <xf numFmtId="0" fontId="2" fillId="0" borderId="0" xfId="0" applyFont="1" applyFill="1" applyBorder="1"/>
    <xf numFmtId="0" fontId="2" fillId="0" borderId="9" xfId="0" applyFont="1" applyFill="1" applyBorder="1"/>
    <xf numFmtId="0" fontId="2" fillId="0" borderId="10" xfId="0" applyFont="1" applyFill="1" applyBorder="1"/>
    <xf numFmtId="0" fontId="2" fillId="2" borderId="11" xfId="0" applyFont="1" applyFill="1" applyBorder="1"/>
    <xf numFmtId="0" fontId="2" fillId="0" borderId="11" xfId="0" applyFont="1" applyFill="1" applyBorder="1"/>
    <xf numFmtId="0" fontId="2" fillId="0" borderId="12" xfId="0" applyFont="1" applyFill="1" applyBorder="1"/>
    <xf numFmtId="0" fontId="2" fillId="2" borderId="8" xfId="0" applyFont="1" applyFill="1" applyBorder="1"/>
    <xf numFmtId="0" fontId="2" fillId="0" borderId="5" xfId="0" applyFont="1" applyFill="1" applyBorder="1"/>
    <xf numFmtId="0" fontId="1" fillId="0" borderId="0" xfId="0" applyFont="1" applyAlignment="1">
      <alignment vertical="center"/>
    </xf>
    <xf numFmtId="0" fontId="2" fillId="0" borderId="5" xfId="0" applyFont="1" applyBorder="1" applyAlignment="1">
      <alignment vertical="center"/>
    </xf>
    <xf numFmtId="0" fontId="2" fillId="0" borderId="0" xfId="0" applyFont="1" applyBorder="1" applyAlignment="1">
      <alignment vertical="center"/>
    </xf>
    <xf numFmtId="0" fontId="1" fillId="0" borderId="0" xfId="0" applyFont="1" applyAlignment="1">
      <alignment vertical="top"/>
    </xf>
    <xf numFmtId="0" fontId="2" fillId="3" borderId="11" xfId="0" applyFont="1" applyFill="1" applyBorder="1"/>
    <xf numFmtId="0" fontId="2" fillId="3" borderId="12" xfId="0" applyFont="1" applyFill="1" applyBorder="1"/>
    <xf numFmtId="0" fontId="0" fillId="2" borderId="9" xfId="0" applyFill="1" applyBorder="1" applyAlignment="1">
      <alignment vertical="center" wrapText="1"/>
    </xf>
    <xf numFmtId="0" fontId="2" fillId="0" borderId="5"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Fill="1" applyBorder="1" applyAlignment="1">
      <alignment horizontal="center" vertical="center"/>
    </xf>
    <xf numFmtId="0" fontId="2" fillId="3" borderId="13" xfId="0" applyFont="1" applyFill="1" applyBorder="1"/>
    <xf numFmtId="0" fontId="1" fillId="0" borderId="5" xfId="0" applyFont="1" applyBorder="1" applyAlignment="1">
      <alignment vertical="center"/>
    </xf>
    <xf numFmtId="0" fontId="4" fillId="3" borderId="17" xfId="0" applyFont="1" applyFill="1" applyBorder="1" applyAlignment="1">
      <alignment vertical="center" wrapText="1"/>
    </xf>
    <xf numFmtId="0" fontId="4" fillId="0" borderId="0" xfId="0" applyFont="1" applyBorder="1" applyAlignment="1">
      <alignment horizontal="center"/>
    </xf>
    <xf numFmtId="0" fontId="4" fillId="0" borderId="18" xfId="0" applyFont="1" applyBorder="1" applyAlignment="1">
      <alignment horizontal="center"/>
    </xf>
    <xf numFmtId="0" fontId="4" fillId="0" borderId="6" xfId="0" applyFont="1" applyBorder="1" applyAlignment="1">
      <alignment horizontal="center"/>
    </xf>
    <xf numFmtId="0" fontId="4" fillId="3" borderId="19" xfId="0" applyFont="1" applyFill="1" applyBorder="1" applyAlignment="1">
      <alignment vertical="center" wrapText="1"/>
    </xf>
    <xf numFmtId="0" fontId="4" fillId="2" borderId="20" xfId="0" applyFont="1" applyFill="1" applyBorder="1" applyAlignment="1">
      <alignment vertical="center" wrapText="1"/>
    </xf>
    <xf numFmtId="0" fontId="4" fillId="3" borderId="21" xfId="0" applyFont="1" applyFill="1" applyBorder="1" applyAlignment="1">
      <alignment vertical="center" wrapText="1"/>
    </xf>
    <xf numFmtId="0" fontId="4" fillId="3" borderId="22" xfId="0" applyFont="1" applyFill="1" applyBorder="1" applyAlignment="1">
      <alignment vertical="center" wrapText="1"/>
    </xf>
    <xf numFmtId="0" fontId="4" fillId="2" borderId="23" xfId="0" applyFont="1" applyFill="1" applyBorder="1" applyAlignment="1">
      <alignment vertical="center" wrapText="1"/>
    </xf>
    <xf numFmtId="0" fontId="2" fillId="0" borderId="13" xfId="0" applyFont="1" applyFill="1" applyBorder="1" applyAlignment="1">
      <alignment horizontal="center"/>
    </xf>
    <xf numFmtId="0" fontId="2" fillId="0" borderId="7" xfId="0" applyFont="1" applyFill="1" applyBorder="1" applyAlignment="1">
      <alignment horizontal="center"/>
    </xf>
    <xf numFmtId="0" fontId="2" fillId="0" borderId="24" xfId="0" applyFont="1" applyBorder="1" applyAlignment="1">
      <alignment horizontal="center"/>
    </xf>
    <xf numFmtId="0" fontId="4" fillId="0" borderId="0" xfId="0" applyFont="1"/>
    <xf numFmtId="0" fontId="4" fillId="0" borderId="0" xfId="0" applyFont="1" applyAlignment="1">
      <alignment horizontal="right"/>
    </xf>
    <xf numFmtId="0" fontId="4" fillId="0" borderId="0" xfId="0" applyFont="1" applyAlignment="1">
      <alignment vertical="center"/>
    </xf>
    <xf numFmtId="0" fontId="4" fillId="0" borderId="0" xfId="0" applyFont="1" applyAlignment="1">
      <alignment horizontal="right" vertical="center"/>
    </xf>
    <xf numFmtId="0" fontId="4" fillId="0" borderId="0" xfId="0" applyFont="1" applyBorder="1" applyAlignment="1">
      <alignment horizontal="right" vertical="center"/>
    </xf>
    <xf numFmtId="0" fontId="4" fillId="0" borderId="0" xfId="0" applyFont="1" applyAlignment="1">
      <alignment horizontal="center"/>
    </xf>
    <xf numFmtId="0" fontId="6" fillId="0" borderId="0" xfId="0" applyFont="1" applyAlignment="1">
      <alignment horizontal="center"/>
    </xf>
    <xf numFmtId="0" fontId="4" fillId="0" borderId="5" xfId="0" applyFont="1" applyBorder="1" applyAlignment="1">
      <alignment horizontal="right" vertical="center"/>
    </xf>
    <xf numFmtId="0" fontId="0" fillId="0" borderId="5" xfId="0" applyBorder="1" applyAlignment="1">
      <alignment vertical="center"/>
    </xf>
    <xf numFmtId="0" fontId="7" fillId="0" borderId="0" xfId="0" applyFont="1" applyAlignment="1">
      <alignment horizontal="center"/>
    </xf>
    <xf numFmtId="0" fontId="8" fillId="0" borderId="11" xfId="0" applyFont="1" applyFill="1" applyBorder="1" applyAlignment="1">
      <alignment horizontal="left"/>
    </xf>
    <xf numFmtId="0" fontId="7" fillId="0" borderId="1" xfId="0" applyFont="1" applyFill="1" applyBorder="1"/>
    <xf numFmtId="0" fontId="2" fillId="4" borderId="0" xfId="0" applyFont="1" applyFill="1" applyBorder="1" applyAlignment="1">
      <alignment vertical="center"/>
    </xf>
    <xf numFmtId="0" fontId="2" fillId="2" borderId="10" xfId="0" applyFont="1" applyFill="1" applyBorder="1" applyAlignment="1">
      <alignment vertical="center" wrapText="1"/>
    </xf>
    <xf numFmtId="0" fontId="2" fillId="5" borderId="5" xfId="0" applyFont="1" applyFill="1" applyBorder="1" applyAlignment="1">
      <alignment vertical="center"/>
    </xf>
    <xf numFmtId="0" fontId="2" fillId="5" borderId="0" xfId="0" applyFont="1" applyFill="1" applyBorder="1" applyAlignment="1">
      <alignment vertical="center"/>
    </xf>
    <xf numFmtId="0" fontId="2" fillId="0" borderId="15" xfId="0" applyFont="1" applyBorder="1" applyAlignment="1">
      <alignment horizontal="center"/>
    </xf>
    <xf numFmtId="0" fontId="2" fillId="0" borderId="14" xfId="0" applyFont="1" applyBorder="1" applyAlignment="1">
      <alignment horizontal="center"/>
    </xf>
    <xf numFmtId="0" fontId="2" fillId="0" borderId="16" xfId="0" applyFont="1" applyBorder="1" applyAlignment="1">
      <alignment horizontal="center"/>
    </xf>
    <xf numFmtId="0" fontId="0" fillId="2" borderId="10" xfId="0" applyFill="1" applyBorder="1" applyAlignment="1">
      <alignment vertical="center" wrapText="1"/>
    </xf>
    <xf numFmtId="0" fontId="0" fillId="2" borderId="12" xfId="0"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BAFD-9DF6-438E-99F1-392C5C8BCFC9}">
  <sheetPr>
    <pageSetUpPr fitToPage="1"/>
  </sheetPr>
  <dimension ref="A1:I12"/>
  <sheetViews>
    <sheetView tabSelected="1" workbookViewId="0">
      <selection activeCell="E2" sqref="E2"/>
    </sheetView>
  </sheetViews>
  <sheetFormatPr baseColWidth="10" defaultRowHeight="18.75" x14ac:dyDescent="0.3"/>
  <cols>
    <col min="1" max="1" width="33.28515625" style="2" customWidth="1"/>
    <col min="2" max="2" width="56.42578125" style="2" customWidth="1"/>
    <col min="3" max="3" width="66" style="2" customWidth="1"/>
    <col min="4" max="15" width="8.7109375" customWidth="1"/>
  </cols>
  <sheetData>
    <row r="1" spans="1:9" ht="19.5" thickBot="1" x14ac:dyDescent="0.35">
      <c r="A1" s="1" t="s">
        <v>50</v>
      </c>
      <c r="B1" s="1" t="s">
        <v>51</v>
      </c>
      <c r="C1" s="1" t="s">
        <v>52</v>
      </c>
    </row>
    <row r="2" spans="1:9" ht="41.25" customHeight="1" thickBot="1" x14ac:dyDescent="0.3">
      <c r="A2" s="28" t="s">
        <v>10</v>
      </c>
      <c r="B2" s="55" t="s">
        <v>323</v>
      </c>
      <c r="C2" s="65"/>
    </row>
    <row r="3" spans="1:9" ht="19.5" thickBot="1" x14ac:dyDescent="0.35">
      <c r="A3" s="14"/>
      <c r="B3" s="55" t="s">
        <v>324</v>
      </c>
      <c r="C3" s="32"/>
    </row>
    <row r="4" spans="1:9" ht="19.5" thickBot="1" x14ac:dyDescent="0.35">
      <c r="A4" s="14"/>
      <c r="B4" s="55" t="s">
        <v>307</v>
      </c>
      <c r="C4" s="32"/>
    </row>
    <row r="5" spans="1:9" ht="19.5" thickBot="1" x14ac:dyDescent="0.35">
      <c r="A5" s="14"/>
      <c r="B5" s="55" t="s">
        <v>307</v>
      </c>
      <c r="C5" s="32"/>
      <c r="D5" s="8"/>
      <c r="E5" s="8"/>
      <c r="G5" s="11"/>
    </row>
    <row r="6" spans="1:9" ht="19.5" thickBot="1" x14ac:dyDescent="0.35">
      <c r="A6" s="30"/>
      <c r="B6" s="56" t="s">
        <v>307</v>
      </c>
      <c r="C6" s="33"/>
      <c r="D6" s="8"/>
      <c r="E6" s="8"/>
    </row>
    <row r="7" spans="1:9" ht="19.5" thickBot="1" x14ac:dyDescent="0.35">
      <c r="A7" s="29"/>
      <c r="B7" s="29"/>
      <c r="C7" s="27"/>
      <c r="D7" s="8"/>
      <c r="E7" s="8"/>
      <c r="I7" s="11"/>
    </row>
    <row r="8" spans="1:9" ht="138" customHeight="1" thickBot="1" x14ac:dyDescent="0.3">
      <c r="A8" s="31" t="s">
        <v>7</v>
      </c>
      <c r="B8" s="55" t="s">
        <v>325</v>
      </c>
      <c r="C8" s="71"/>
      <c r="D8" s="8"/>
      <c r="E8" s="8"/>
    </row>
    <row r="9" spans="1:9" ht="138" customHeight="1" thickBot="1" x14ac:dyDescent="0.3">
      <c r="A9" s="14"/>
      <c r="B9" s="55" t="s">
        <v>326</v>
      </c>
      <c r="C9" s="72"/>
      <c r="D9" s="8"/>
      <c r="E9" s="8"/>
      <c r="G9" s="11"/>
    </row>
    <row r="10" spans="1:9" ht="19.5" thickBot="1" x14ac:dyDescent="0.35">
      <c r="A10" s="18"/>
      <c r="B10" s="18"/>
      <c r="C10" s="18"/>
    </row>
    <row r="11" spans="1:9" ht="19.5" thickBot="1" x14ac:dyDescent="0.35">
      <c r="A11" s="28" t="s">
        <v>9</v>
      </c>
      <c r="B11" s="55" t="s">
        <v>327</v>
      </c>
      <c r="C11" s="38"/>
      <c r="D11" s="8"/>
      <c r="E11" s="8"/>
    </row>
    <row r="12" spans="1:9" ht="138" customHeight="1" thickBot="1" x14ac:dyDescent="0.3">
      <c r="A12" s="14"/>
      <c r="B12" s="55" t="s">
        <v>328</v>
      </c>
      <c r="C12" s="34"/>
      <c r="D12" s="8"/>
      <c r="E12" s="8"/>
    </row>
  </sheetData>
  <dataValidations count="6">
    <dataValidation type="list" showInputMessage="1" showErrorMessage="1" errorTitle="Seleccione" error="un item de la lista" promptTitle="Seleccione" prompt="un item de la lista" sqref="C11" xr:uid="{5343874C-C598-46E8-B524-54A005117E1C}">
      <formula1>"A,B,C"</formula1>
    </dataValidation>
    <dataValidation type="list" showInputMessage="1" showErrorMessage="1" errorTitle="Seleccione" error="un item de la lista" promptTitle="ELEGIR DE LA LISTA..." prompt="el primer ámbito secundario" sqref="C4" xr:uid="{FFF9C9F7-A148-4FB3-B91F-BF943FE57D87}">
      <formula1>ambito</formula1>
    </dataValidation>
    <dataValidation type="list" showInputMessage="1" showErrorMessage="1" errorTitle="Seleccione" error="un item de la lista" promptTitle="ELEGIR DE LA LISTA..." prompt="el ámbito principal" sqref="C3" xr:uid="{954737B6-0155-4753-8357-A81F3B36A7C9}">
      <formula1>ambito</formula1>
    </dataValidation>
    <dataValidation type="list" showInputMessage="1" showErrorMessage="1" errorTitle="Seleccione" error="un item de la lista" promptTitle="ELEGIR DE LA LISTA..." prompt="el segundo ámbito secundario" sqref="C5:C7" xr:uid="{4D39B58F-E80F-4448-841E-D363E1496B78}">
      <formula1>ambito</formula1>
    </dataValidation>
    <dataValidation showInputMessage="1" showErrorMessage="1" errorTitle="Seleccione" error="un item de la lista" promptTitle="Seleccione" prompt="un item de la lista; seleccione otros ámbitos en las celdas a la derecha" sqref="D11:D12 D5:D9" xr:uid="{0BBA1225-C6A8-44E9-8523-184E5E14F0D6}"/>
    <dataValidation showInputMessage="1" showErrorMessage="1" errorTitle="Seleccione" error="un item de la lista" promptTitle="Seleccione" prompt="un item de la lista" sqref="C12 E11:E12 C8:C9 E5:E9" xr:uid="{326971F0-3E88-452A-9B14-A69165EE15BB}"/>
  </dataValidations>
  <printOptions gridLines="1"/>
  <pageMargins left="0.70866141732283472" right="0.70866141732283472" top="1.7322834645669292" bottom="0.74803149606299213" header="0.31496062992125984" footer="0.31496062992125984"/>
  <pageSetup paperSize="9" scale="68" orientation="landscape" r:id="rId1"/>
  <headerFooter>
    <oddHeader>&amp;L&amp;G&amp;C&amp;12Ficha Comunicacion de Proyecto
(Documento provisorio junio-julio 2026)</oddHeader>
    <oddFooter>&amp;CMinisterio de Ambiente- DINACEA&amp;R&amp;A</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D24E-032C-45C3-9D72-9CB3035E4D38}">
  <sheetPr>
    <pageSetUpPr fitToPage="1"/>
  </sheetPr>
  <dimension ref="A1:H31"/>
  <sheetViews>
    <sheetView workbookViewId="0">
      <selection activeCell="G11" sqref="G11"/>
    </sheetView>
  </sheetViews>
  <sheetFormatPr baseColWidth="10" defaultRowHeight="18.75" x14ac:dyDescent="0.3"/>
  <cols>
    <col min="1" max="1" width="33.28515625" style="2" customWidth="1"/>
    <col min="2" max="2" width="34.140625" style="2" customWidth="1"/>
    <col min="3" max="3" width="66" style="2" customWidth="1"/>
    <col min="4" max="15" width="8.7109375" customWidth="1"/>
  </cols>
  <sheetData>
    <row r="1" spans="1:8" x14ac:dyDescent="0.3">
      <c r="A1" s="1" t="s">
        <v>50</v>
      </c>
      <c r="B1" s="1" t="s">
        <v>51</v>
      </c>
      <c r="C1" s="1" t="s">
        <v>52</v>
      </c>
    </row>
    <row r="2" spans="1:8" ht="41.25" customHeight="1" x14ac:dyDescent="0.25">
      <c r="A2" s="28" t="s">
        <v>10</v>
      </c>
      <c r="B2" s="55" t="s">
        <v>329</v>
      </c>
      <c r="C2" s="64" t="str">
        <f>IF('1 de 6 - PROYECTO'!C2="","",'1 de 6 - PROYECTO'!C2)</f>
        <v/>
      </c>
    </row>
    <row r="3" spans="1:8" ht="19.5" thickBot="1" x14ac:dyDescent="0.35">
      <c r="A3" s="18"/>
      <c r="B3" s="18"/>
      <c r="C3" s="27"/>
      <c r="D3" s="8"/>
      <c r="E3" s="8"/>
    </row>
    <row r="4" spans="1:8" ht="19.5" thickBot="1" x14ac:dyDescent="0.35">
      <c r="A4" s="9" t="s">
        <v>0</v>
      </c>
      <c r="B4" s="13"/>
      <c r="C4" s="49" t="s">
        <v>302</v>
      </c>
    </row>
    <row r="5" spans="1:8" ht="19.5" thickBot="1" x14ac:dyDescent="0.35">
      <c r="B5" s="53" t="s">
        <v>309</v>
      </c>
      <c r="C5" s="23"/>
    </row>
    <row r="6" spans="1:8" ht="19.5" thickBot="1" x14ac:dyDescent="0.35">
      <c r="B6" s="53" t="s">
        <v>310</v>
      </c>
      <c r="C6" s="23"/>
    </row>
    <row r="7" spans="1:8" ht="19.5" thickBot="1" x14ac:dyDescent="0.35">
      <c r="B7" s="53" t="s">
        <v>311</v>
      </c>
      <c r="C7" s="62" t="str">
        <f>IF(REFERENCIAS!I2="","sin puntos ni guiones incluyendo el dígito verificador",)</f>
        <v>sin puntos ni guiones incluyendo el dígito verificador</v>
      </c>
    </row>
    <row r="8" spans="1:8" ht="19.5" thickBot="1" x14ac:dyDescent="0.35">
      <c r="B8" s="53" t="s">
        <v>312</v>
      </c>
      <c r="C8" s="24"/>
    </row>
    <row r="9" spans="1:8" ht="19.5" thickBot="1" x14ac:dyDescent="0.35">
      <c r="B9" s="53" t="s">
        <v>313</v>
      </c>
      <c r="C9" s="25"/>
    </row>
    <row r="10" spans="1:8" ht="19.5" thickBot="1" x14ac:dyDescent="0.35">
      <c r="B10" s="53"/>
      <c r="C10" s="50" t="s">
        <v>303</v>
      </c>
    </row>
    <row r="11" spans="1:8" ht="19.5" thickBot="1" x14ac:dyDescent="0.35">
      <c r="B11" s="53" t="s">
        <v>314</v>
      </c>
      <c r="C11" s="24"/>
    </row>
    <row r="12" spans="1:8" ht="19.5" thickBot="1" x14ac:dyDescent="0.35">
      <c r="B12" s="53" t="s">
        <v>315</v>
      </c>
      <c r="C12" s="21"/>
    </row>
    <row r="13" spans="1:8" x14ac:dyDescent="0.3">
      <c r="B13" s="53"/>
      <c r="C13" s="50" t="s">
        <v>294</v>
      </c>
      <c r="H13" s="11"/>
    </row>
    <row r="14" spans="1:8" ht="19.5" thickBot="1" x14ac:dyDescent="0.35">
      <c r="B14" s="53" t="s">
        <v>316</v>
      </c>
      <c r="C14" s="26"/>
    </row>
    <row r="15" spans="1:8" ht="19.5" thickBot="1" x14ac:dyDescent="0.35">
      <c r="B15" s="53" t="s">
        <v>317</v>
      </c>
      <c r="C15" s="24"/>
    </row>
    <row r="16" spans="1:8" ht="19.5" thickBot="1" x14ac:dyDescent="0.35">
      <c r="B16" s="53" t="s">
        <v>318</v>
      </c>
      <c r="C16" s="24"/>
    </row>
    <row r="17" spans="1:8" ht="19.5" thickBot="1" x14ac:dyDescent="0.35">
      <c r="B17" s="53" t="s">
        <v>319</v>
      </c>
      <c r="C17" s="24"/>
      <c r="G17" s="11"/>
      <c r="H17" s="11"/>
    </row>
    <row r="18" spans="1:8" ht="19.5" thickBot="1" x14ac:dyDescent="0.35">
      <c r="B18" s="53" t="s">
        <v>320</v>
      </c>
      <c r="C18" s="24"/>
    </row>
    <row r="19" spans="1:8" ht="19.5" thickBot="1" x14ac:dyDescent="0.35">
      <c r="B19" s="53" t="s">
        <v>321</v>
      </c>
      <c r="C19" s="24"/>
    </row>
    <row r="20" spans="1:8" ht="19.5" thickBot="1" x14ac:dyDescent="0.35">
      <c r="B20" s="53" t="s">
        <v>322</v>
      </c>
      <c r="C20" s="25"/>
    </row>
    <row r="21" spans="1:8" ht="19.5" thickBot="1" x14ac:dyDescent="0.35">
      <c r="A21" s="18"/>
      <c r="B21" s="18"/>
      <c r="C21" s="27"/>
    </row>
    <row r="22" spans="1:8" ht="19.5" thickBot="1" x14ac:dyDescent="0.35">
      <c r="A22" s="9" t="s">
        <v>1</v>
      </c>
      <c r="B22" s="53" t="s">
        <v>312</v>
      </c>
      <c r="C22" s="22"/>
    </row>
    <row r="23" spans="1:8" ht="19.5" thickBot="1" x14ac:dyDescent="0.35">
      <c r="B23" s="53" t="s">
        <v>313</v>
      </c>
      <c r="C23" s="24"/>
    </row>
    <row r="24" spans="1:8" ht="19.5" thickBot="1" x14ac:dyDescent="0.35">
      <c r="B24" s="53" t="s">
        <v>330</v>
      </c>
      <c r="C24" s="23"/>
    </row>
    <row r="25" spans="1:8" ht="19.5" thickBot="1" x14ac:dyDescent="0.35">
      <c r="B25" s="53" t="s">
        <v>331</v>
      </c>
      <c r="C25" s="24"/>
    </row>
    <row r="26" spans="1:8" ht="19.5" thickBot="1" x14ac:dyDescent="0.35">
      <c r="B26" s="53" t="s">
        <v>308</v>
      </c>
      <c r="C26" s="24"/>
    </row>
    <row r="27" spans="1:8" ht="19.5" thickBot="1" x14ac:dyDescent="0.35">
      <c r="B27" s="53" t="s">
        <v>320</v>
      </c>
      <c r="C27" s="24"/>
    </row>
    <row r="28" spans="1:8" ht="19.5" thickBot="1" x14ac:dyDescent="0.35">
      <c r="B28" s="53" t="s">
        <v>321</v>
      </c>
      <c r="C28" s="24"/>
    </row>
    <row r="29" spans="1:8" ht="19.5" thickBot="1" x14ac:dyDescent="0.35">
      <c r="B29" s="53" t="s">
        <v>322</v>
      </c>
      <c r="C29" s="25"/>
    </row>
    <row r="30" spans="1:8" x14ac:dyDescent="0.3">
      <c r="A30" s="13"/>
      <c r="B30" s="13"/>
      <c r="C30" s="20"/>
      <c r="F30" s="11"/>
    </row>
    <row r="31" spans="1:8" x14ac:dyDescent="0.3">
      <c r="A31" s="13"/>
      <c r="B31" s="13"/>
      <c r="C31" s="13"/>
    </row>
  </sheetData>
  <phoneticPr fontId="3" type="noConversion"/>
  <dataValidations xWindow="727" yWindow="308" count="10">
    <dataValidation allowBlank="1" sqref="C4" xr:uid="{81F74230-5324-4EA4-A192-D899C562D7EF}"/>
    <dataValidation type="list" allowBlank="1" showInputMessage="1" showErrorMessage="1" sqref="C6" xr:uid="{D47F4261-7200-40F4-B373-BFAC01313B8B}">
      <formula1>"CEDULA IDENTIDAD,DOCUMENTO EXTRANJERO,PASAPORTE"</formula1>
    </dataValidation>
    <dataValidation type="list" allowBlank="1" showInputMessage="1" showErrorMessage="1" errorTitle="DEBE ELEGIR UN VALOR DE LA LISTA" promptTitle="ELEGIR DE LA LISTA..." prompt="LA NACIONALIDAD" sqref="C5" xr:uid="{D5C28A32-5ACD-4E84-83A3-201E02080EF7}">
      <formula1>nacionalidades</formula1>
    </dataValidation>
    <dataValidation type="list" allowBlank="1" showInputMessage="1" showErrorMessage="1" sqref="C14" xr:uid="{FF5262B0-6B2B-4D85-B1B7-B60E8827E32C}">
      <formula1>deptos</formula1>
    </dataValidation>
    <dataValidation type="list" allowBlank="1" showInputMessage="1" showErrorMessage="1" sqref="C24" xr:uid="{1E0AC31E-DBD3-4B5A-8C18-468244B8465D}">
      <formula1>profesion</formula1>
    </dataValidation>
    <dataValidation type="list" showInputMessage="1" showErrorMessage="1" errorTitle="Seleccione" error="un item de la lista" promptTitle="ELEGIR DE LA LISTA...." prompt="el tercer ámbito secundario" sqref="C3" xr:uid="{79DEF98F-E853-4DD5-996C-BF3E0D63ACB8}">
      <formula1>ambito</formula1>
    </dataValidation>
    <dataValidation type="list" allowBlank="1" showInputMessage="1" showErrorMessage="1" promptTitle="Seleccione" prompt="una opción" sqref="C5" xr:uid="{B2A95BB5-7AB8-4141-8311-A8289455E5BC}">
      <formula1>nacionalidades</formula1>
    </dataValidation>
    <dataValidation type="list" showInputMessage="1" showErrorMessage="1" errorTitle="Seleccione" error="un item de la lista" promptTitle="ELEGIR DE LA LISTA" prompt="el tercer ámbito secundario" sqref="C3" xr:uid="{FEE89B7A-0324-498C-BE76-87FB3C31F9F8}">
      <formula1>ambito</formula1>
    </dataValidation>
    <dataValidation showInputMessage="1" showErrorMessage="1" errorTitle="Seleccione" error="un item de la lista" promptTitle="Seleccione" prompt="un item de la lista" sqref="E3" xr:uid="{BAA3DB2A-991E-408A-A877-657D210A1ADF}"/>
    <dataValidation showInputMessage="1" showErrorMessage="1" errorTitle="Seleccione" error="un item de la lista" promptTitle="Seleccione" prompt="un item de la lista; seleccione otros ámbitos en las celdas a la derecha" sqref="D3" xr:uid="{2572B028-EAAB-4DC6-B95B-2A4833925C22}"/>
  </dataValidations>
  <printOptions gridLines="1"/>
  <pageMargins left="0.70866141732283472" right="0.70866141732283472" top="1.7322834645669292" bottom="0.74803149606299213" header="0.31496062992125984" footer="0.31496062992125984"/>
  <pageSetup paperSize="9" scale="65" orientation="portrait" r:id="rId1"/>
  <headerFooter>
    <oddHeader>&amp;L&amp;G&amp;C&amp;12Ficha Comunicacion de Proyecto
(Documento provisorio junio-julio 2026)</oddHeader>
    <oddFooter>&amp;CMinisterio de Ambiente- DINACEA&amp;R&amp;A</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AD3A-7DE9-43B5-AF06-9F2D776D5DF6}">
  <sheetPr>
    <pageSetUpPr fitToPage="1"/>
  </sheetPr>
  <dimension ref="A1:P25"/>
  <sheetViews>
    <sheetView workbookViewId="0">
      <selection activeCell="C2" sqref="C2"/>
    </sheetView>
  </sheetViews>
  <sheetFormatPr baseColWidth="10" defaultRowHeight="18.75" x14ac:dyDescent="0.3"/>
  <cols>
    <col min="1" max="1" width="57.7109375" style="2" customWidth="1"/>
    <col min="2" max="2" width="33.5703125" style="2" customWidth="1"/>
    <col min="3" max="3" width="26.42578125" style="2" customWidth="1"/>
    <col min="4" max="4" width="16.140625" customWidth="1"/>
    <col min="5" max="5" width="36.7109375" customWidth="1"/>
    <col min="6" max="6" width="12.5703125" customWidth="1"/>
    <col min="7" max="10" width="12.140625" customWidth="1"/>
    <col min="11" max="11" width="19.42578125" customWidth="1"/>
    <col min="12" max="12" width="20.85546875" customWidth="1"/>
    <col min="13" max="16" width="8.7109375" customWidth="1"/>
  </cols>
  <sheetData>
    <row r="1" spans="1:16" x14ac:dyDescent="0.3">
      <c r="A1" s="1" t="s">
        <v>50</v>
      </c>
      <c r="B1" s="1" t="s">
        <v>51</v>
      </c>
      <c r="C1" s="1" t="s">
        <v>52</v>
      </c>
    </row>
    <row r="2" spans="1:16" s="15" customFormat="1" ht="41.25" customHeight="1" thickBot="1" x14ac:dyDescent="0.3">
      <c r="A2" s="29" t="s">
        <v>10</v>
      </c>
      <c r="B2" s="59" t="s">
        <v>329</v>
      </c>
      <c r="C2" s="66" t="str">
        <f>IF('1 de 6 - PROYECTO'!C2="","",'1 de 6 - PROYECTO'!C2)</f>
        <v/>
      </c>
      <c r="D2" s="60"/>
      <c r="E2" s="60"/>
      <c r="F2" s="60"/>
      <c r="G2" s="60"/>
      <c r="H2" s="60"/>
      <c r="I2" s="60"/>
      <c r="J2" s="60"/>
      <c r="K2" s="60"/>
    </row>
    <row r="3" spans="1:16" x14ac:dyDescent="0.3">
      <c r="A3" s="9" t="s">
        <v>2</v>
      </c>
      <c r="B3" s="53" t="s">
        <v>341</v>
      </c>
      <c r="C3" s="3"/>
      <c r="G3" s="58" t="s">
        <v>340</v>
      </c>
    </row>
    <row r="4" spans="1:16" ht="19.5" thickBot="1" x14ac:dyDescent="0.35">
      <c r="B4" s="57" t="s">
        <v>316</v>
      </c>
      <c r="C4" s="57" t="s">
        <v>317</v>
      </c>
      <c r="D4" s="57" t="s">
        <v>337</v>
      </c>
      <c r="E4" s="57" t="s">
        <v>338</v>
      </c>
      <c r="F4" s="57" t="s">
        <v>332</v>
      </c>
      <c r="G4" s="57" t="s">
        <v>333</v>
      </c>
      <c r="H4" s="57" t="s">
        <v>334</v>
      </c>
      <c r="I4" s="57" t="s">
        <v>335</v>
      </c>
      <c r="J4" s="57" t="s">
        <v>336</v>
      </c>
      <c r="K4" s="57" t="s">
        <v>339</v>
      </c>
    </row>
    <row r="5" spans="1:16" ht="19.5" thickBot="1" x14ac:dyDescent="0.35">
      <c r="B5" s="3"/>
      <c r="C5" s="5"/>
      <c r="D5" s="3"/>
      <c r="E5" s="4"/>
      <c r="F5" s="5"/>
      <c r="G5" s="5"/>
      <c r="H5" s="5"/>
      <c r="I5" s="5"/>
      <c r="J5" s="5"/>
      <c r="K5" s="5"/>
    </row>
    <row r="6" spans="1:16" ht="19.5" thickBot="1" x14ac:dyDescent="0.35">
      <c r="B6" s="3"/>
      <c r="C6" s="5"/>
      <c r="D6" s="3"/>
      <c r="E6" s="4"/>
      <c r="F6" s="5"/>
      <c r="G6" s="5"/>
      <c r="H6" s="5"/>
      <c r="I6" s="5"/>
      <c r="J6" s="5"/>
      <c r="K6" s="5"/>
      <c r="L6" s="11"/>
      <c r="M6" s="11"/>
      <c r="N6" s="11"/>
      <c r="O6" s="11"/>
      <c r="P6" s="11"/>
    </row>
    <row r="7" spans="1:16" ht="19.5" thickBot="1" x14ac:dyDescent="0.35">
      <c r="B7" s="3"/>
      <c r="C7" s="5"/>
      <c r="D7" s="3"/>
      <c r="E7" s="4"/>
      <c r="F7" s="5"/>
      <c r="G7" s="5"/>
      <c r="H7" s="5"/>
      <c r="I7" s="5"/>
      <c r="J7" s="5"/>
      <c r="K7" s="5"/>
    </row>
    <row r="8" spans="1:16" ht="19.5" thickBot="1" x14ac:dyDescent="0.35">
      <c r="B8" s="3"/>
      <c r="C8" s="5"/>
      <c r="D8" s="3"/>
      <c r="E8" s="4"/>
      <c r="F8" s="5"/>
      <c r="G8" s="5"/>
      <c r="H8" s="5"/>
      <c r="I8" s="5"/>
      <c r="J8" s="5"/>
      <c r="K8" s="5"/>
    </row>
    <row r="9" spans="1:16" ht="19.5" thickBot="1" x14ac:dyDescent="0.35">
      <c r="B9" s="3"/>
      <c r="C9" s="5"/>
      <c r="D9" s="3"/>
      <c r="E9" s="4"/>
      <c r="F9" s="5"/>
      <c r="G9" s="5"/>
      <c r="H9" s="5"/>
      <c r="I9" s="5"/>
      <c r="J9" s="5"/>
      <c r="K9" s="5"/>
    </row>
    <row r="10" spans="1:16" ht="19.5" thickBot="1" x14ac:dyDescent="0.35">
      <c r="B10" s="3"/>
      <c r="C10" s="5"/>
      <c r="D10" s="3"/>
      <c r="E10" s="4"/>
      <c r="F10" s="5"/>
      <c r="G10" s="5"/>
      <c r="H10" s="5"/>
      <c r="I10" s="5"/>
      <c r="J10" s="5"/>
      <c r="K10" s="5"/>
    </row>
    <row r="11" spans="1:16" ht="19.5" thickBot="1" x14ac:dyDescent="0.35">
      <c r="B11" s="3"/>
      <c r="C11" s="5"/>
      <c r="D11" s="3"/>
      <c r="E11" s="4"/>
      <c r="F11" s="5"/>
      <c r="G11" s="5"/>
      <c r="H11" s="5"/>
      <c r="I11" s="5"/>
      <c r="J11" s="5"/>
      <c r="K11" s="5"/>
    </row>
    <row r="12" spans="1:16" ht="19.5" thickBot="1" x14ac:dyDescent="0.35">
      <c r="B12" s="3"/>
      <c r="C12" s="5"/>
      <c r="D12" s="3"/>
      <c r="E12" s="4"/>
      <c r="F12" s="5"/>
      <c r="G12" s="5"/>
      <c r="H12" s="5"/>
      <c r="I12" s="5"/>
      <c r="J12" s="5"/>
      <c r="K12" s="5"/>
    </row>
    <row r="13" spans="1:16" ht="19.5" thickBot="1" x14ac:dyDescent="0.35">
      <c r="B13" s="3"/>
      <c r="C13" s="5"/>
      <c r="D13" s="3"/>
      <c r="E13" s="4"/>
      <c r="F13" s="5"/>
      <c r="G13" s="5"/>
      <c r="H13" s="5"/>
      <c r="I13" s="5"/>
      <c r="J13" s="5"/>
      <c r="K13" s="5"/>
    </row>
    <row r="14" spans="1:16" ht="19.5" thickBot="1" x14ac:dyDescent="0.35">
      <c r="B14" s="3"/>
      <c r="C14" s="5"/>
      <c r="D14" s="3"/>
      <c r="E14" s="4"/>
      <c r="F14" s="5"/>
      <c r="G14" s="5"/>
      <c r="H14" s="5"/>
      <c r="I14" s="5"/>
      <c r="J14" s="5"/>
      <c r="K14" s="5"/>
    </row>
    <row r="15" spans="1:16" ht="19.5" thickBot="1" x14ac:dyDescent="0.35">
      <c r="B15" s="3"/>
      <c r="C15" s="5"/>
      <c r="D15" s="3"/>
      <c r="E15" s="4"/>
      <c r="F15" s="5"/>
      <c r="G15" s="5"/>
      <c r="H15" s="5"/>
      <c r="I15" s="5"/>
      <c r="J15" s="5"/>
      <c r="K15" s="5"/>
    </row>
    <row r="16" spans="1:16" ht="19.5" thickBot="1" x14ac:dyDescent="0.35">
      <c r="B16" s="3"/>
      <c r="C16" s="5"/>
      <c r="D16" s="3"/>
      <c r="E16" s="4"/>
      <c r="F16" s="5"/>
      <c r="G16" s="5"/>
      <c r="H16" s="5"/>
      <c r="I16" s="5"/>
      <c r="J16" s="5"/>
      <c r="K16" s="5"/>
    </row>
    <row r="17" spans="1:11" ht="19.5" thickBot="1" x14ac:dyDescent="0.35">
      <c r="B17" s="3"/>
      <c r="C17" s="5"/>
      <c r="D17" s="3"/>
      <c r="E17" s="4"/>
      <c r="F17" s="5"/>
      <c r="G17" s="5"/>
      <c r="H17" s="5"/>
      <c r="I17" s="5"/>
      <c r="J17" s="5"/>
      <c r="K17" s="5"/>
    </row>
    <row r="18" spans="1:11" ht="19.5" thickBot="1" x14ac:dyDescent="0.35">
      <c r="B18" s="3"/>
      <c r="C18" s="5"/>
      <c r="D18" s="3"/>
      <c r="E18" s="4"/>
      <c r="F18" s="5"/>
      <c r="G18" s="5"/>
      <c r="H18" s="5"/>
      <c r="I18" s="5"/>
      <c r="J18" s="5"/>
      <c r="K18" s="5"/>
    </row>
    <row r="19" spans="1:11" ht="19.5" thickBot="1" x14ac:dyDescent="0.35">
      <c r="B19" s="3"/>
      <c r="C19" s="5"/>
      <c r="D19" s="3"/>
      <c r="E19" s="4"/>
      <c r="F19" s="5"/>
      <c r="G19" s="5"/>
      <c r="H19" s="5"/>
      <c r="I19" s="5"/>
      <c r="J19" s="5"/>
      <c r="K19" s="5"/>
    </row>
    <row r="20" spans="1:11" ht="19.5" thickBot="1" x14ac:dyDescent="0.35">
      <c r="B20" s="3"/>
      <c r="C20" s="5"/>
      <c r="D20" s="3"/>
      <c r="E20" s="4"/>
      <c r="F20" s="5"/>
      <c r="G20" s="5"/>
      <c r="H20" s="5"/>
      <c r="I20" s="5"/>
      <c r="J20" s="5"/>
      <c r="K20" s="5"/>
    </row>
    <row r="21" spans="1:11" ht="19.5" thickBot="1" x14ac:dyDescent="0.35">
      <c r="B21" s="3"/>
      <c r="C21" s="5"/>
      <c r="D21" s="3"/>
      <c r="E21" s="4"/>
      <c r="F21" s="5"/>
      <c r="G21" s="5"/>
      <c r="H21" s="5"/>
      <c r="I21" s="5"/>
      <c r="J21" s="5"/>
      <c r="K21" s="5"/>
    </row>
    <row r="22" spans="1:11" ht="19.5" thickBot="1" x14ac:dyDescent="0.35">
      <c r="A22" s="52" t="s">
        <v>342</v>
      </c>
      <c r="B22" s="5"/>
    </row>
    <row r="23" spans="1:11" ht="19.5" thickBot="1" x14ac:dyDescent="0.35">
      <c r="A23" s="52" t="s">
        <v>343</v>
      </c>
      <c r="B23" s="5"/>
    </row>
    <row r="24" spans="1:11" ht="19.5" thickBot="1" x14ac:dyDescent="0.35">
      <c r="A24" s="52" t="s">
        <v>344</v>
      </c>
      <c r="B24" s="5"/>
    </row>
    <row r="25" spans="1:11" ht="19.5" thickBot="1" x14ac:dyDescent="0.35">
      <c r="A25" s="52" t="s">
        <v>345</v>
      </c>
      <c r="B25" s="5"/>
    </row>
  </sheetData>
  <dataValidations count="3">
    <dataValidation type="list" allowBlank="1" showInputMessage="1" showErrorMessage="1" sqref="D5:D21" xr:uid="{CAAB8847-8A6B-4A7E-AB57-CB4ADDE4F963}">
      <formula1>"RURAL,SUB-URBANO,URBANO"</formula1>
    </dataValidation>
    <dataValidation type="list" allowBlank="1" showInputMessage="1" showErrorMessage="1" sqref="C3" xr:uid="{E804FC44-E2FA-4F96-ADD0-B5C87E760EF0}">
      <formula1>"SÍ,NO"</formula1>
    </dataValidation>
    <dataValidation type="list" allowBlank="1" showInputMessage="1" showErrorMessage="1" sqref="B5:B21" xr:uid="{D45311A4-A144-4983-AF99-95741301F9DF}">
      <formula1>deptos</formula1>
    </dataValidation>
  </dataValidations>
  <printOptions gridLines="1"/>
  <pageMargins left="0.70866141732283472" right="0.70866141732283472" top="1.7322834645669292" bottom="0.74803149606299213" header="0.31496062992125984" footer="0.31496062992125984"/>
  <pageSetup paperSize="9" scale="52" orientation="landscape" r:id="rId1"/>
  <headerFooter>
    <oddHeader>&amp;L&amp;G&amp;C&amp;12Ficha Comunicacion de Proyecto
(Documento provisorio junio-julio 2026)</oddHeader>
    <oddFooter>&amp;CMinisterio de Ambiente- DINACEA&amp;R&amp;A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A982-8542-4FEA-837F-F0997194B95A}">
  <sheetPr>
    <pageSetUpPr fitToPage="1"/>
  </sheetPr>
  <dimension ref="A1:F21"/>
  <sheetViews>
    <sheetView workbookViewId="0">
      <selection activeCell="C2" sqref="C2"/>
    </sheetView>
  </sheetViews>
  <sheetFormatPr baseColWidth="10" defaultRowHeight="18.75" x14ac:dyDescent="0.3"/>
  <cols>
    <col min="1" max="1" width="33.28515625" style="2" customWidth="1"/>
    <col min="2" max="2" width="42.5703125" style="2" customWidth="1"/>
    <col min="3" max="3" width="66" style="2" customWidth="1"/>
    <col min="4" max="15" width="8.7109375" customWidth="1"/>
  </cols>
  <sheetData>
    <row r="1" spans="1:6" x14ac:dyDescent="0.3">
      <c r="A1" s="1" t="s">
        <v>50</v>
      </c>
      <c r="B1" s="1" t="s">
        <v>51</v>
      </c>
      <c r="C1" s="1" t="s">
        <v>52</v>
      </c>
    </row>
    <row r="2" spans="1:6" s="15" customFormat="1" ht="41.25" customHeight="1" thickBot="1" x14ac:dyDescent="0.3">
      <c r="A2" s="29" t="s">
        <v>10</v>
      </c>
      <c r="B2" s="59" t="s">
        <v>329</v>
      </c>
      <c r="C2" s="66" t="str">
        <f>IF('1 de 6 - PROYECTO'!C2="","",'1 de 6 - PROYECTO'!C2)</f>
        <v/>
      </c>
    </row>
    <row r="3" spans="1:6" ht="19.5" thickBot="1" x14ac:dyDescent="0.35">
      <c r="A3" s="9" t="s">
        <v>3</v>
      </c>
      <c r="B3" s="53" t="s">
        <v>358</v>
      </c>
      <c r="C3" s="19"/>
    </row>
    <row r="4" spans="1:6" ht="19.5" thickBot="1" x14ac:dyDescent="0.35">
      <c r="A4" s="61" t="s">
        <v>356</v>
      </c>
      <c r="B4" s="53" t="s">
        <v>359</v>
      </c>
      <c r="C4" s="10"/>
    </row>
    <row r="5" spans="1:6" ht="19.5" thickBot="1" x14ac:dyDescent="0.35">
      <c r="A5" s="61" t="s">
        <v>357</v>
      </c>
      <c r="B5" s="53" t="s">
        <v>346</v>
      </c>
      <c r="C5" s="10"/>
    </row>
    <row r="6" spans="1:6" ht="19.5" thickBot="1" x14ac:dyDescent="0.35">
      <c r="B6" s="53" t="s">
        <v>347</v>
      </c>
      <c r="C6" s="10"/>
      <c r="E6" s="11"/>
    </row>
    <row r="7" spans="1:6" ht="19.5" thickBot="1" x14ac:dyDescent="0.35">
      <c r="B7" s="53" t="s">
        <v>348</v>
      </c>
      <c r="C7" s="10"/>
      <c r="E7" s="11"/>
    </row>
    <row r="8" spans="1:6" ht="19.5" thickBot="1" x14ac:dyDescent="0.35">
      <c r="B8" s="53" t="s">
        <v>349</v>
      </c>
      <c r="C8" s="10"/>
      <c r="E8" s="11"/>
    </row>
    <row r="9" spans="1:6" ht="19.5" thickBot="1" x14ac:dyDescent="0.35">
      <c r="B9" s="53" t="s">
        <v>350</v>
      </c>
      <c r="C9" s="10"/>
      <c r="E9" s="11"/>
    </row>
    <row r="10" spans="1:6" ht="19.5" thickBot="1" x14ac:dyDescent="0.35">
      <c r="B10" s="53" t="s">
        <v>351</v>
      </c>
      <c r="C10" s="10"/>
    </row>
    <row r="11" spans="1:6" ht="19.5" thickBot="1" x14ac:dyDescent="0.35">
      <c r="B11" s="53" t="s">
        <v>352</v>
      </c>
      <c r="C11" s="10"/>
      <c r="F11" s="11"/>
    </row>
    <row r="12" spans="1:6" ht="19.5" thickBot="1" x14ac:dyDescent="0.35">
      <c r="B12" s="53" t="s">
        <v>353</v>
      </c>
      <c r="C12" s="10"/>
    </row>
    <row r="13" spans="1:6" ht="19.5" thickBot="1" x14ac:dyDescent="0.35">
      <c r="B13" s="53" t="s">
        <v>354</v>
      </c>
      <c r="C13" s="10"/>
    </row>
    <row r="14" spans="1:6" ht="19.5" thickBot="1" x14ac:dyDescent="0.35">
      <c r="B14" s="53" t="s">
        <v>355</v>
      </c>
      <c r="C14" s="10"/>
    </row>
    <row r="15" spans="1:6" ht="19.5" thickBot="1" x14ac:dyDescent="0.35">
      <c r="A15" s="18"/>
      <c r="B15" s="18"/>
      <c r="C15" s="27"/>
    </row>
    <row r="16" spans="1:6" ht="19.5" thickBot="1" x14ac:dyDescent="0.35">
      <c r="A16" s="9" t="s">
        <v>4</v>
      </c>
      <c r="B16" s="53" t="s">
        <v>363</v>
      </c>
      <c r="C16" s="17"/>
    </row>
    <row r="17" spans="1:3" ht="19.5" thickBot="1" x14ac:dyDescent="0.35">
      <c r="B17" s="53" t="s">
        <v>360</v>
      </c>
      <c r="C17" s="63" t="str">
        <f>IF(REFERENCIAS!I2="","cota en metros (referida al cero Wharton)",)</f>
        <v>cota en metros (referida al cero Wharton)</v>
      </c>
    </row>
    <row r="18" spans="1:3" ht="19.5" thickBot="1" x14ac:dyDescent="0.35">
      <c r="B18" s="53" t="s">
        <v>361</v>
      </c>
      <c r="C18" s="63" t="str">
        <f>IF(REFERENCIAS!I2="","cota en metros (referida al cero Wharton)",)</f>
        <v>cota en metros (referida al cero Wharton)</v>
      </c>
    </row>
    <row r="19" spans="1:3" ht="19.5" thickBot="1" x14ac:dyDescent="0.35">
      <c r="A19" s="18"/>
      <c r="B19" s="18"/>
      <c r="C19" s="27"/>
    </row>
    <row r="20" spans="1:3" ht="19.5" thickBot="1" x14ac:dyDescent="0.35">
      <c r="A20" s="9" t="s">
        <v>5</v>
      </c>
      <c r="B20" s="53" t="s">
        <v>364</v>
      </c>
      <c r="C20" s="17"/>
    </row>
    <row r="21" spans="1:3" ht="40.5" customHeight="1" thickBot="1" x14ac:dyDescent="0.35">
      <c r="A21" s="14"/>
      <c r="B21" s="55" t="s">
        <v>362</v>
      </c>
      <c r="C21" s="10"/>
    </row>
  </sheetData>
  <dataValidations count="1">
    <dataValidation type="list" allowBlank="1" showInputMessage="1" showErrorMessage="1" sqref="C16 C20" xr:uid="{31B8D4CD-DB88-46E6-B19F-5BAFA96788F2}">
      <formula1>"SÍ,NO"</formula1>
    </dataValidation>
  </dataValidations>
  <printOptions gridLines="1"/>
  <pageMargins left="0.70866141732283472" right="0.70866141732283472" top="1.7322834645669292" bottom="0.74803149606299213" header="0.31496062992125984" footer="0.31496062992125984"/>
  <pageSetup paperSize="9" scale="61" orientation="portrait" r:id="rId1"/>
  <headerFooter>
    <oddHeader>&amp;L&amp;G&amp;C&amp;12Ficha Comunicacion de Proyecto
(Documento provisorio junio-julio 2026)</oddHeader>
    <oddFooter>&amp;CMinisterio de Ambiente- DINACEA&amp;R&amp;A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69DE7-BEAF-4122-A0E0-C4B2114A5B65}">
  <sheetPr>
    <pageSetUpPr fitToPage="1"/>
  </sheetPr>
  <dimension ref="A1:N17"/>
  <sheetViews>
    <sheetView workbookViewId="0">
      <selection activeCell="C2" sqref="C2"/>
    </sheetView>
  </sheetViews>
  <sheetFormatPr baseColWidth="10" defaultRowHeight="18.75" x14ac:dyDescent="0.3"/>
  <cols>
    <col min="1" max="1" width="33.28515625" style="2" customWidth="1"/>
    <col min="2" max="2" width="44.85546875" style="2" customWidth="1"/>
    <col min="3" max="3" width="58.5703125" style="2" customWidth="1"/>
    <col min="4" max="4" width="36" customWidth="1"/>
    <col min="5" max="16" width="11" customWidth="1"/>
  </cols>
  <sheetData>
    <row r="1" spans="1:14" x14ac:dyDescent="0.3">
      <c r="A1" s="1" t="s">
        <v>50</v>
      </c>
      <c r="B1" s="1" t="s">
        <v>51</v>
      </c>
      <c r="C1" s="1" t="s">
        <v>52</v>
      </c>
      <c r="D1" s="1"/>
    </row>
    <row r="2" spans="1:14" ht="41.25" customHeight="1" x14ac:dyDescent="0.25">
      <c r="A2" s="28" t="s">
        <v>10</v>
      </c>
      <c r="B2" s="55" t="s">
        <v>329</v>
      </c>
      <c r="C2" s="67" t="str">
        <f>IF('1 de 6 - PROYECTO'!C2="","",'1 de 6 - PROYECTO'!C2)</f>
        <v/>
      </c>
    </row>
    <row r="3" spans="1:14" ht="19.5" thickBot="1" x14ac:dyDescent="0.35">
      <c r="A3" s="18"/>
      <c r="B3" s="18"/>
      <c r="C3" s="35"/>
      <c r="D3" s="35"/>
      <c r="E3" s="36"/>
      <c r="F3" s="37"/>
      <c r="G3" s="37"/>
      <c r="H3" s="37"/>
      <c r="I3" s="37"/>
      <c r="J3" s="37"/>
      <c r="K3" s="37"/>
      <c r="L3" s="37"/>
      <c r="M3" s="37"/>
      <c r="N3" s="37"/>
    </row>
    <row r="4" spans="1:14" ht="19.5" thickBot="1" x14ac:dyDescent="0.35">
      <c r="A4" s="9" t="s">
        <v>6</v>
      </c>
      <c r="B4" s="12" t="s">
        <v>304</v>
      </c>
      <c r="C4" s="51" t="s">
        <v>305</v>
      </c>
      <c r="D4" s="51" t="s">
        <v>306</v>
      </c>
    </row>
    <row r="5" spans="1:14" ht="20.25" thickTop="1" thickBot="1" x14ac:dyDescent="0.35">
      <c r="B5" s="6"/>
      <c r="C5" s="7"/>
      <c r="D5" s="7"/>
    </row>
    <row r="6" spans="1:14" ht="20.25" thickTop="1" thickBot="1" x14ac:dyDescent="0.35">
      <c r="B6" s="6"/>
      <c r="C6" s="7"/>
      <c r="D6" s="7"/>
    </row>
    <row r="7" spans="1:14" ht="20.25" thickTop="1" thickBot="1" x14ac:dyDescent="0.35">
      <c r="B7" s="6"/>
      <c r="C7" s="7"/>
      <c r="D7" s="7"/>
    </row>
    <row r="8" spans="1:14" ht="20.25" thickTop="1" thickBot="1" x14ac:dyDescent="0.35">
      <c r="B8" s="6"/>
      <c r="C8" s="7"/>
      <c r="D8" s="7"/>
    </row>
    <row r="9" spans="1:14" ht="20.25" thickTop="1" thickBot="1" x14ac:dyDescent="0.35">
      <c r="B9" s="6"/>
      <c r="C9" s="7"/>
      <c r="D9" s="7"/>
    </row>
    <row r="10" spans="1:14" ht="20.25" thickTop="1" thickBot="1" x14ac:dyDescent="0.35">
      <c r="B10" s="6"/>
      <c r="C10" s="7"/>
      <c r="D10" s="7"/>
    </row>
    <row r="11" spans="1:14" ht="20.25" thickTop="1" thickBot="1" x14ac:dyDescent="0.35">
      <c r="B11" s="6"/>
      <c r="C11" s="7"/>
      <c r="D11" s="7"/>
    </row>
    <row r="12" spans="1:14" ht="20.25" thickTop="1" thickBot="1" x14ac:dyDescent="0.35">
      <c r="B12" s="6"/>
      <c r="C12" s="7"/>
      <c r="D12" s="7"/>
    </row>
    <row r="13" spans="1:14" ht="20.25" thickTop="1" thickBot="1" x14ac:dyDescent="0.35">
      <c r="B13" s="6"/>
      <c r="C13" s="7"/>
      <c r="D13" s="7"/>
    </row>
    <row r="14" spans="1:14" ht="20.25" thickTop="1" thickBot="1" x14ac:dyDescent="0.35">
      <c r="B14" s="6"/>
      <c r="C14" s="7"/>
      <c r="D14" s="7"/>
    </row>
    <row r="15" spans="1:14" ht="20.25" thickTop="1" thickBot="1" x14ac:dyDescent="0.35">
      <c r="B15" s="6"/>
      <c r="C15" s="7"/>
      <c r="D15" s="7"/>
    </row>
    <row r="16" spans="1:14" ht="20.25" thickTop="1" thickBot="1" x14ac:dyDescent="0.35">
      <c r="B16" s="6"/>
      <c r="C16" s="7"/>
      <c r="D16" s="7"/>
    </row>
    <row r="17" ht="19.5" thickTop="1" x14ac:dyDescent="0.3"/>
  </sheetData>
  <dataValidations count="1">
    <dataValidation type="list" allowBlank="1" showInputMessage="1" showErrorMessage="1" sqref="B5:B16" xr:uid="{008CAEBF-DD1D-4FBF-B27E-C0F701D21147}">
      <formula1>elementos_int</formula1>
    </dataValidation>
  </dataValidations>
  <printOptions gridLines="1"/>
  <pageMargins left="0.70866141732283472" right="0.70866141732283472" top="1.7322834645669292" bottom="0.74803149606299213" header="0.31496062992125984" footer="0.31496062992125984"/>
  <pageSetup paperSize="9" scale="75" orientation="landscape" r:id="rId1"/>
  <headerFooter>
    <oddHeader>&amp;L&amp;G&amp;C&amp;12Ficha Comunicacion de Proyecto
(Documento provisorio junio-julio 2026)</oddHeader>
    <oddFooter>&amp;CMinisterio de Ambiente- DINACEA&amp;R&amp;A</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83FAE-5677-4AC2-BAB2-89D888264A0D}">
  <sheetPr>
    <pageSetUpPr fitToPage="1"/>
  </sheetPr>
  <dimension ref="A1:V18"/>
  <sheetViews>
    <sheetView workbookViewId="0">
      <selection activeCell="D2" sqref="D2"/>
    </sheetView>
  </sheetViews>
  <sheetFormatPr baseColWidth="10" defaultRowHeight="18.75" x14ac:dyDescent="0.3"/>
  <cols>
    <col min="1" max="1" width="33.28515625" style="2" customWidth="1"/>
    <col min="2" max="2" width="25" style="2" customWidth="1"/>
    <col min="3" max="3" width="18.7109375" style="2" customWidth="1"/>
    <col min="4" max="4" width="25" style="2" customWidth="1"/>
    <col min="5" max="5" width="42.85546875" style="2" customWidth="1"/>
    <col min="6" max="6" width="16.140625" style="2" customWidth="1"/>
    <col min="7" max="7" width="25" style="2" customWidth="1"/>
    <col min="8" max="8" width="42.85546875" style="2" customWidth="1"/>
    <col min="9" max="9" width="16.140625" style="2" customWidth="1"/>
    <col min="10" max="10" width="25" style="2" customWidth="1"/>
    <col min="11" max="11" width="42.85546875" style="2" customWidth="1"/>
    <col min="12" max="12" width="22.5703125" customWidth="1"/>
    <col min="13" max="22" width="8.7109375" customWidth="1"/>
  </cols>
  <sheetData>
    <row r="1" spans="1:22" x14ac:dyDescent="0.3">
      <c r="A1" s="1" t="s">
        <v>50</v>
      </c>
      <c r="B1" s="1" t="s">
        <v>51</v>
      </c>
      <c r="D1" s="1"/>
      <c r="E1" s="1" t="s">
        <v>301</v>
      </c>
      <c r="F1" s="1"/>
      <c r="G1" s="1"/>
      <c r="H1" s="1"/>
      <c r="I1" s="1"/>
      <c r="J1" s="1"/>
      <c r="K1" s="1"/>
    </row>
    <row r="2" spans="1:22" ht="41.25" customHeight="1" x14ac:dyDescent="0.25">
      <c r="A2" s="28" t="s">
        <v>10</v>
      </c>
      <c r="B2" s="55" t="s">
        <v>329</v>
      </c>
      <c r="C2" s="67" t="str">
        <f>IF('1 de 6 - PROYECTO'!C2="","",'1 de 6 - PROYECTO'!C2)</f>
        <v/>
      </c>
      <c r="D2" s="67"/>
      <c r="E2" s="16"/>
      <c r="F2" s="16" t="str">
        <f>IF('1 de 6 - PROYECTO'!F2="","",'1 de 6 - PROYECTO'!F2)</f>
        <v/>
      </c>
      <c r="G2" s="16"/>
      <c r="H2" s="16"/>
      <c r="I2" s="16" t="str">
        <f>IF('1 de 6 - PROYECTO'!I2="","",'1 de 6 - PROYECTO'!I2)</f>
        <v/>
      </c>
      <c r="J2" s="16"/>
      <c r="K2" s="16"/>
    </row>
    <row r="3" spans="1:22" ht="19.5" thickBot="1" x14ac:dyDescent="0.3">
      <c r="A3" s="39"/>
      <c r="B3" s="29"/>
      <c r="C3" s="16"/>
      <c r="D3" s="16"/>
      <c r="E3" s="16"/>
      <c r="F3" s="16"/>
      <c r="G3" s="16"/>
      <c r="H3" s="16"/>
      <c r="I3" s="16"/>
      <c r="J3" s="16"/>
      <c r="K3" s="16"/>
    </row>
    <row r="4" spans="1:22" ht="19.5" thickBot="1" x14ac:dyDescent="0.35">
      <c r="C4" s="68" t="s">
        <v>295</v>
      </c>
      <c r="D4" s="69"/>
      <c r="E4" s="70"/>
      <c r="F4" s="68" t="s">
        <v>296</v>
      </c>
      <c r="G4" s="69"/>
      <c r="H4" s="70"/>
      <c r="I4" s="68" t="s">
        <v>297</v>
      </c>
      <c r="J4" s="69"/>
      <c r="K4" s="70"/>
      <c r="L4" s="12"/>
    </row>
    <row r="5" spans="1:22" ht="19.5" thickBot="1" x14ac:dyDescent="0.35">
      <c r="A5" s="9" t="s">
        <v>8</v>
      </c>
      <c r="C5" s="42" t="s">
        <v>299</v>
      </c>
      <c r="D5" s="41" t="s">
        <v>300</v>
      </c>
      <c r="E5" s="43" t="s">
        <v>298</v>
      </c>
      <c r="F5" s="42" t="s">
        <v>299</v>
      </c>
      <c r="G5" s="41" t="s">
        <v>300</v>
      </c>
      <c r="H5" s="43" t="s">
        <v>298</v>
      </c>
      <c r="I5" s="42" t="s">
        <v>299</v>
      </c>
      <c r="J5" s="41" t="s">
        <v>300</v>
      </c>
      <c r="K5" s="43" t="s">
        <v>298</v>
      </c>
      <c r="L5" s="12"/>
    </row>
    <row r="6" spans="1:22" s="15" customFormat="1" ht="60" customHeight="1" thickBot="1" x14ac:dyDescent="0.3">
      <c r="A6" s="14"/>
      <c r="B6" s="54" t="s">
        <v>365</v>
      </c>
      <c r="C6" s="44"/>
      <c r="D6" s="40"/>
      <c r="E6" s="45"/>
      <c r="F6" s="44"/>
      <c r="G6" s="40"/>
      <c r="H6" s="45"/>
      <c r="I6" s="44"/>
      <c r="J6" s="40"/>
      <c r="K6" s="45"/>
      <c r="L6" s="14"/>
      <c r="M6" s="14"/>
      <c r="N6" s="14"/>
      <c r="O6" s="14"/>
      <c r="P6" s="14"/>
      <c r="Q6" s="14"/>
      <c r="R6" s="14"/>
      <c r="S6" s="14"/>
      <c r="T6" s="14"/>
      <c r="U6" s="14"/>
      <c r="V6" s="14"/>
    </row>
    <row r="7" spans="1:22" s="15" customFormat="1" ht="60" customHeight="1" thickBot="1" x14ac:dyDescent="0.3">
      <c r="A7" s="14"/>
      <c r="B7" s="54" t="s">
        <v>366</v>
      </c>
      <c r="C7" s="44"/>
      <c r="D7" s="40"/>
      <c r="E7" s="45"/>
      <c r="F7" s="44"/>
      <c r="G7" s="40"/>
      <c r="H7" s="45"/>
      <c r="I7" s="44"/>
      <c r="J7" s="40"/>
      <c r="K7" s="45"/>
    </row>
    <row r="8" spans="1:22" s="15" customFormat="1" ht="60" customHeight="1" thickBot="1" x14ac:dyDescent="0.3">
      <c r="A8" s="14"/>
      <c r="B8" s="54" t="s">
        <v>367</v>
      </c>
      <c r="C8" s="44"/>
      <c r="D8" s="40"/>
      <c r="E8" s="45"/>
      <c r="F8" s="44"/>
      <c r="G8" s="40"/>
      <c r="H8" s="45"/>
      <c r="I8" s="44"/>
      <c r="J8" s="40"/>
      <c r="K8" s="45"/>
    </row>
    <row r="9" spans="1:22" s="15" customFormat="1" ht="60" customHeight="1" thickBot="1" x14ac:dyDescent="0.3">
      <c r="A9" s="14"/>
      <c r="B9" s="54" t="s">
        <v>368</v>
      </c>
      <c r="C9" s="44"/>
      <c r="D9" s="40"/>
      <c r="E9" s="45"/>
      <c r="F9" s="44"/>
      <c r="G9" s="40"/>
      <c r="H9" s="45"/>
      <c r="I9" s="44"/>
      <c r="J9" s="40"/>
      <c r="K9" s="45"/>
    </row>
    <row r="10" spans="1:22" s="15" customFormat="1" ht="60" customHeight="1" thickBot="1" x14ac:dyDescent="0.3">
      <c r="A10" s="14"/>
      <c r="B10" s="54" t="s">
        <v>369</v>
      </c>
      <c r="C10" s="44"/>
      <c r="D10" s="40"/>
      <c r="E10" s="45"/>
      <c r="F10" s="44"/>
      <c r="G10" s="40"/>
      <c r="H10" s="45"/>
      <c r="I10" s="44"/>
      <c r="J10" s="40"/>
      <c r="K10" s="45"/>
    </row>
    <row r="11" spans="1:22" s="15" customFormat="1" ht="60" customHeight="1" thickBot="1" x14ac:dyDescent="0.3">
      <c r="A11" s="14"/>
      <c r="B11" s="54" t="s">
        <v>370</v>
      </c>
      <c r="C11" s="44"/>
      <c r="D11" s="40"/>
      <c r="E11" s="45"/>
      <c r="F11" s="44"/>
      <c r="G11" s="40"/>
      <c r="H11" s="45"/>
      <c r="I11" s="44"/>
      <c r="J11" s="40"/>
      <c r="K11" s="45"/>
    </row>
    <row r="12" spans="1:22" s="15" customFormat="1" ht="60" customHeight="1" thickBot="1" x14ac:dyDescent="0.3">
      <c r="A12" s="14"/>
      <c r="B12" s="54" t="s">
        <v>371</v>
      </c>
      <c r="C12" s="44"/>
      <c r="D12" s="40"/>
      <c r="E12" s="45"/>
      <c r="F12" s="44"/>
      <c r="G12" s="40"/>
      <c r="H12" s="45"/>
      <c r="I12" s="44"/>
      <c r="J12" s="40"/>
      <c r="K12" s="45"/>
    </row>
    <row r="13" spans="1:22" s="15" customFormat="1" ht="60" customHeight="1" thickBot="1" x14ac:dyDescent="0.3">
      <c r="A13" s="14"/>
      <c r="B13" s="54" t="s">
        <v>372</v>
      </c>
      <c r="C13" s="44"/>
      <c r="D13" s="40"/>
      <c r="E13" s="45"/>
      <c r="F13" s="44"/>
      <c r="G13" s="40"/>
      <c r="H13" s="45"/>
      <c r="I13" s="44"/>
      <c r="J13" s="40"/>
      <c r="K13" s="45"/>
    </row>
    <row r="14" spans="1:22" s="15" customFormat="1" ht="60" customHeight="1" thickBot="1" x14ac:dyDescent="0.3">
      <c r="A14" s="14"/>
      <c r="B14" s="54" t="s">
        <v>373</v>
      </c>
      <c r="C14" s="44"/>
      <c r="D14" s="40"/>
      <c r="E14" s="45"/>
      <c r="F14" s="44"/>
      <c r="G14" s="40"/>
      <c r="H14" s="45"/>
      <c r="I14" s="44"/>
      <c r="J14" s="40"/>
      <c r="K14" s="45"/>
    </row>
    <row r="15" spans="1:22" s="15" customFormat="1" ht="60" customHeight="1" thickBot="1" x14ac:dyDescent="0.3">
      <c r="A15" s="14"/>
      <c r="B15" s="54" t="s">
        <v>374</v>
      </c>
      <c r="C15" s="44"/>
      <c r="D15" s="40"/>
      <c r="E15" s="45"/>
      <c r="F15" s="44"/>
      <c r="G15" s="40"/>
      <c r="H15" s="45"/>
      <c r="I15" s="44"/>
      <c r="J15" s="40"/>
      <c r="K15" s="45"/>
    </row>
    <row r="16" spans="1:22" s="15" customFormat="1" ht="60" customHeight="1" thickBot="1" x14ac:dyDescent="0.3">
      <c r="A16" s="14"/>
      <c r="B16" s="54" t="s">
        <v>375</v>
      </c>
      <c r="C16" s="44"/>
      <c r="D16" s="40"/>
      <c r="E16" s="45"/>
      <c r="F16" s="44"/>
      <c r="G16" s="40"/>
      <c r="H16" s="45"/>
      <c r="I16" s="44"/>
      <c r="J16" s="40"/>
      <c r="K16" s="45"/>
    </row>
    <row r="17" spans="1:11" s="15" customFormat="1" ht="60" customHeight="1" thickBot="1" x14ac:dyDescent="0.3">
      <c r="A17" s="14"/>
      <c r="B17" s="54" t="s">
        <v>376</v>
      </c>
      <c r="C17" s="44"/>
      <c r="D17" s="40"/>
      <c r="E17" s="45"/>
      <c r="F17" s="44"/>
      <c r="G17" s="40"/>
      <c r="H17" s="45"/>
      <c r="I17" s="44"/>
      <c r="J17" s="40"/>
      <c r="K17" s="45"/>
    </row>
    <row r="18" spans="1:11" s="15" customFormat="1" ht="60" customHeight="1" thickBot="1" x14ac:dyDescent="0.3">
      <c r="A18" s="14"/>
      <c r="B18" s="54" t="s">
        <v>377</v>
      </c>
      <c r="C18" s="46"/>
      <c r="D18" s="47"/>
      <c r="E18" s="48"/>
      <c r="F18" s="46"/>
      <c r="G18" s="47"/>
      <c r="H18" s="48"/>
      <c r="I18" s="46"/>
      <c r="J18" s="47"/>
      <c r="K18" s="48"/>
    </row>
  </sheetData>
  <mergeCells count="3">
    <mergeCell ref="C4:E4"/>
    <mergeCell ref="F4:H4"/>
    <mergeCell ref="I4:K4"/>
  </mergeCells>
  <dataValidations count="2">
    <dataValidation type="list" allowBlank="1" showInputMessage="1" showErrorMessage="1" sqref="C6 F6 I6" xr:uid="{C371F013-3F97-4A2B-A30B-FCD647AD3232}">
      <formula1>"SIN IMPACTO,POSITIVO,NEGATIVO"</formula1>
    </dataValidation>
    <dataValidation type="list" allowBlank="1" showInputMessage="1" showErrorMessage="1" sqref="G6 D6 J6" xr:uid="{ED42F225-4D23-49F0-B593-D324B3C6310A}">
      <formula1>"SIGNIFICATIVO,POCO SIGNIFICATIVO,MODERADAMENTE SIGNIFICATIVO"</formula1>
    </dataValidation>
  </dataValidations>
  <printOptions gridLines="1"/>
  <pageMargins left="0.70866141732283472" right="0.70866141732283472" top="1.7322834645669292" bottom="0.74803149606299213" header="0.31496062992125984" footer="0.31496062992125984"/>
  <pageSetup paperSize="9" scale="41" orientation="landscape" r:id="rId1"/>
  <headerFooter>
    <oddHeader>&amp;L&amp;G&amp;C&amp;12Ficha Comunicacion de Proyecto
(Documento provisorio junio-julio 2026)</oddHeader>
    <oddFooter>&amp;CMinisterio de Ambiente- DINACEA&amp;R&amp;A</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94800-522F-4F61-88B8-31221F1B17A5}">
  <dimension ref="A1:F195"/>
  <sheetViews>
    <sheetView workbookViewId="0">
      <selection activeCell="J2" sqref="J2"/>
    </sheetView>
  </sheetViews>
  <sheetFormatPr baseColWidth="10" defaultRowHeight="15" x14ac:dyDescent="0.25"/>
  <cols>
    <col min="1" max="1" width="5" customWidth="1"/>
    <col min="2" max="6" width="18.85546875" customWidth="1"/>
  </cols>
  <sheetData>
    <row r="1" spans="1:6" x14ac:dyDescent="0.25">
      <c r="A1" t="s">
        <v>11</v>
      </c>
      <c r="B1" t="s">
        <v>12</v>
      </c>
      <c r="C1" t="s">
        <v>245</v>
      </c>
      <c r="D1" t="s">
        <v>246</v>
      </c>
      <c r="E1" t="s">
        <v>283</v>
      </c>
      <c r="F1" t="s">
        <v>293</v>
      </c>
    </row>
    <row r="2" spans="1:6" x14ac:dyDescent="0.25">
      <c r="A2">
        <v>1</v>
      </c>
      <c r="B2" t="s">
        <v>18</v>
      </c>
      <c r="C2" t="s">
        <v>237</v>
      </c>
      <c r="D2" t="s">
        <v>247</v>
      </c>
      <c r="E2" t="s">
        <v>284</v>
      </c>
      <c r="F2" t="s">
        <v>285</v>
      </c>
    </row>
    <row r="3" spans="1:6" x14ac:dyDescent="0.25">
      <c r="A3">
        <v>2</v>
      </c>
      <c r="B3" t="s">
        <v>19</v>
      </c>
      <c r="C3" t="s">
        <v>112</v>
      </c>
      <c r="D3" t="s">
        <v>248</v>
      </c>
      <c r="E3" t="s">
        <v>266</v>
      </c>
      <c r="F3" t="s">
        <v>286</v>
      </c>
    </row>
    <row r="4" spans="1:6" x14ac:dyDescent="0.25">
      <c r="A4">
        <v>3</v>
      </c>
      <c r="B4" t="s">
        <v>20</v>
      </c>
      <c r="C4" t="s">
        <v>67</v>
      </c>
      <c r="D4" t="s">
        <v>249</v>
      </c>
      <c r="E4" t="s">
        <v>267</v>
      </c>
      <c r="F4" t="s">
        <v>287</v>
      </c>
    </row>
    <row r="5" spans="1:6" x14ac:dyDescent="0.25">
      <c r="A5">
        <v>4</v>
      </c>
      <c r="B5" t="s">
        <v>21</v>
      </c>
      <c r="C5" t="s">
        <v>206</v>
      </c>
      <c r="D5" t="s">
        <v>250</v>
      </c>
      <c r="E5" t="s">
        <v>378</v>
      </c>
      <c r="F5" t="s">
        <v>288</v>
      </c>
    </row>
    <row r="6" spans="1:6" x14ac:dyDescent="0.25">
      <c r="A6">
        <v>5</v>
      </c>
      <c r="B6" t="s">
        <v>15</v>
      </c>
      <c r="C6" t="s">
        <v>106</v>
      </c>
      <c r="D6" t="s">
        <v>251</v>
      </c>
      <c r="E6" t="s">
        <v>391</v>
      </c>
      <c r="F6" t="s">
        <v>289</v>
      </c>
    </row>
    <row r="7" spans="1:6" x14ac:dyDescent="0.25">
      <c r="A7">
        <v>6</v>
      </c>
      <c r="B7" t="s">
        <v>17</v>
      </c>
      <c r="C7" t="s">
        <v>107</v>
      </c>
      <c r="D7" t="s">
        <v>252</v>
      </c>
      <c r="E7" t="s">
        <v>268</v>
      </c>
      <c r="F7" t="s">
        <v>290</v>
      </c>
    </row>
    <row r="8" spans="1:6" x14ac:dyDescent="0.25">
      <c r="A8">
        <v>7</v>
      </c>
      <c r="B8" t="s">
        <v>16</v>
      </c>
      <c r="C8" t="s">
        <v>108</v>
      </c>
      <c r="D8" t="s">
        <v>253</v>
      </c>
      <c r="E8" t="s">
        <v>269</v>
      </c>
      <c r="F8" t="s">
        <v>291</v>
      </c>
    </row>
    <row r="9" spans="1:6" x14ac:dyDescent="0.25">
      <c r="A9">
        <v>8</v>
      </c>
      <c r="B9" t="s">
        <v>30</v>
      </c>
      <c r="C9" t="s">
        <v>109</v>
      </c>
      <c r="D9" t="s">
        <v>254</v>
      </c>
      <c r="E9" t="s">
        <v>270</v>
      </c>
      <c r="F9" t="s">
        <v>292</v>
      </c>
    </row>
    <row r="10" spans="1:6" x14ac:dyDescent="0.25">
      <c r="A10">
        <v>9</v>
      </c>
      <c r="B10" t="s">
        <v>31</v>
      </c>
      <c r="C10" t="s">
        <v>110</v>
      </c>
      <c r="D10" t="s">
        <v>255</v>
      </c>
      <c r="E10" t="s">
        <v>392</v>
      </c>
    </row>
    <row r="11" spans="1:6" x14ac:dyDescent="0.25">
      <c r="A11">
        <v>10</v>
      </c>
      <c r="B11" t="s">
        <v>32</v>
      </c>
      <c r="C11" t="s">
        <v>111</v>
      </c>
      <c r="D11" t="s">
        <v>256</v>
      </c>
      <c r="E11" t="s">
        <v>271</v>
      </c>
    </row>
    <row r="12" spans="1:6" x14ac:dyDescent="0.25">
      <c r="A12">
        <v>11</v>
      </c>
      <c r="B12" t="s">
        <v>33</v>
      </c>
      <c r="C12" t="s">
        <v>113</v>
      </c>
      <c r="D12" t="s">
        <v>265</v>
      </c>
      <c r="E12" t="s">
        <v>272</v>
      </c>
    </row>
    <row r="13" spans="1:6" x14ac:dyDescent="0.25">
      <c r="A13">
        <v>12</v>
      </c>
      <c r="B13" t="s">
        <v>34</v>
      </c>
      <c r="C13" t="s">
        <v>114</v>
      </c>
      <c r="D13" t="s">
        <v>264</v>
      </c>
      <c r="E13" t="s">
        <v>409</v>
      </c>
    </row>
    <row r="14" spans="1:6" x14ac:dyDescent="0.25">
      <c r="A14">
        <v>13</v>
      </c>
      <c r="B14" t="s">
        <v>35</v>
      </c>
      <c r="C14" t="s">
        <v>115</v>
      </c>
      <c r="D14" t="s">
        <v>257</v>
      </c>
      <c r="E14" t="s">
        <v>410</v>
      </c>
    </row>
    <row r="15" spans="1:6" x14ac:dyDescent="0.25">
      <c r="A15">
        <v>14</v>
      </c>
      <c r="B15" t="s">
        <v>36</v>
      </c>
      <c r="C15" t="s">
        <v>116</v>
      </c>
      <c r="D15" t="s">
        <v>258</v>
      </c>
      <c r="E15" t="s">
        <v>273</v>
      </c>
    </row>
    <row r="16" spans="1:6" x14ac:dyDescent="0.25">
      <c r="A16">
        <v>15</v>
      </c>
      <c r="B16" t="s">
        <v>37</v>
      </c>
      <c r="C16" t="s">
        <v>117</v>
      </c>
      <c r="D16" t="s">
        <v>259</v>
      </c>
      <c r="E16" t="s">
        <v>393</v>
      </c>
    </row>
    <row r="17" spans="1:5" x14ac:dyDescent="0.25">
      <c r="A17">
        <v>16</v>
      </c>
      <c r="B17" t="s">
        <v>38</v>
      </c>
      <c r="C17" t="s">
        <v>118</v>
      </c>
      <c r="D17" t="s">
        <v>263</v>
      </c>
      <c r="E17" t="s">
        <v>274</v>
      </c>
    </row>
    <row r="18" spans="1:5" x14ac:dyDescent="0.25">
      <c r="A18">
        <v>17</v>
      </c>
      <c r="B18" t="s">
        <v>39</v>
      </c>
      <c r="C18" t="s">
        <v>119</v>
      </c>
      <c r="D18" t="s">
        <v>260</v>
      </c>
      <c r="E18" t="s">
        <v>411</v>
      </c>
    </row>
    <row r="19" spans="1:5" x14ac:dyDescent="0.25">
      <c r="A19">
        <v>18</v>
      </c>
      <c r="B19" t="s">
        <v>40</v>
      </c>
      <c r="C19" t="s">
        <v>120</v>
      </c>
      <c r="D19" t="s">
        <v>262</v>
      </c>
      <c r="E19" t="s">
        <v>275</v>
      </c>
    </row>
    <row r="20" spans="1:5" x14ac:dyDescent="0.25">
      <c r="A20">
        <v>19</v>
      </c>
      <c r="B20" t="s">
        <v>41</v>
      </c>
      <c r="C20" t="s">
        <v>121</v>
      </c>
      <c r="D20" t="s">
        <v>261</v>
      </c>
      <c r="E20" t="s">
        <v>379</v>
      </c>
    </row>
    <row r="21" spans="1:5" x14ac:dyDescent="0.25">
      <c r="A21">
        <v>20</v>
      </c>
      <c r="B21" t="s">
        <v>42</v>
      </c>
      <c r="C21" t="s">
        <v>122</v>
      </c>
      <c r="E21" t="s">
        <v>414</v>
      </c>
    </row>
    <row r="22" spans="1:5" x14ac:dyDescent="0.25">
      <c r="A22">
        <v>21</v>
      </c>
      <c r="B22" t="s">
        <v>43</v>
      </c>
      <c r="C22" t="s">
        <v>123</v>
      </c>
      <c r="E22" t="s">
        <v>394</v>
      </c>
    </row>
    <row r="23" spans="1:5" x14ac:dyDescent="0.25">
      <c r="A23">
        <v>22</v>
      </c>
      <c r="B23" t="s">
        <v>44</v>
      </c>
      <c r="C23" t="s">
        <v>124</v>
      </c>
      <c r="E23" t="s">
        <v>412</v>
      </c>
    </row>
    <row r="24" spans="1:5" x14ac:dyDescent="0.25">
      <c r="A24">
        <v>23</v>
      </c>
      <c r="B24" t="s">
        <v>45</v>
      </c>
      <c r="C24" t="s">
        <v>125</v>
      </c>
      <c r="E24" t="s">
        <v>395</v>
      </c>
    </row>
    <row r="25" spans="1:5" x14ac:dyDescent="0.25">
      <c r="A25">
        <v>24</v>
      </c>
      <c r="B25" t="s">
        <v>46</v>
      </c>
      <c r="C25" t="s">
        <v>126</v>
      </c>
      <c r="E25" t="s">
        <v>380</v>
      </c>
    </row>
    <row r="26" spans="1:5" x14ac:dyDescent="0.25">
      <c r="A26">
        <v>25</v>
      </c>
      <c r="B26" t="s">
        <v>47</v>
      </c>
      <c r="C26" t="s">
        <v>127</v>
      </c>
      <c r="E26" t="s">
        <v>381</v>
      </c>
    </row>
    <row r="27" spans="1:5" x14ac:dyDescent="0.25">
      <c r="A27">
        <v>26</v>
      </c>
      <c r="B27" t="s">
        <v>48</v>
      </c>
      <c r="C27" t="s">
        <v>128</v>
      </c>
      <c r="E27" t="s">
        <v>382</v>
      </c>
    </row>
    <row r="28" spans="1:5" x14ac:dyDescent="0.25">
      <c r="A28">
        <v>27</v>
      </c>
      <c r="B28" t="s">
        <v>49</v>
      </c>
      <c r="C28" t="s">
        <v>129</v>
      </c>
      <c r="E28" t="s">
        <v>396</v>
      </c>
    </row>
    <row r="29" spans="1:5" x14ac:dyDescent="0.25">
      <c r="A29">
        <v>28</v>
      </c>
      <c r="B29" t="s">
        <v>29</v>
      </c>
      <c r="C29" t="s">
        <v>130</v>
      </c>
      <c r="E29" t="s">
        <v>397</v>
      </c>
    </row>
    <row r="30" spans="1:5" x14ac:dyDescent="0.25">
      <c r="A30">
        <v>29</v>
      </c>
      <c r="B30" t="s">
        <v>28</v>
      </c>
      <c r="C30" t="s">
        <v>131</v>
      </c>
      <c r="E30" t="s">
        <v>276</v>
      </c>
    </row>
    <row r="31" spans="1:5" x14ac:dyDescent="0.25">
      <c r="A31">
        <v>30</v>
      </c>
      <c r="B31" t="s">
        <v>27</v>
      </c>
      <c r="C31" t="s">
        <v>132</v>
      </c>
      <c r="E31" t="s">
        <v>277</v>
      </c>
    </row>
    <row r="32" spans="1:5" x14ac:dyDescent="0.25">
      <c r="A32">
        <v>31</v>
      </c>
      <c r="B32" t="s">
        <v>26</v>
      </c>
      <c r="C32" t="s">
        <v>133</v>
      </c>
      <c r="E32" t="s">
        <v>398</v>
      </c>
    </row>
    <row r="33" spans="1:5" x14ac:dyDescent="0.25">
      <c r="A33">
        <v>32</v>
      </c>
      <c r="B33" t="s">
        <v>25</v>
      </c>
      <c r="C33" t="s">
        <v>134</v>
      </c>
      <c r="E33" t="s">
        <v>399</v>
      </c>
    </row>
    <row r="34" spans="1:5" x14ac:dyDescent="0.25">
      <c r="A34">
        <v>33</v>
      </c>
      <c r="B34" t="s">
        <v>24</v>
      </c>
      <c r="C34" t="s">
        <v>135</v>
      </c>
      <c r="E34" t="s">
        <v>400</v>
      </c>
    </row>
    <row r="35" spans="1:5" x14ac:dyDescent="0.25">
      <c r="A35">
        <v>34</v>
      </c>
      <c r="B35" t="s">
        <v>23</v>
      </c>
      <c r="C35" t="s">
        <v>136</v>
      </c>
      <c r="E35" t="s">
        <v>383</v>
      </c>
    </row>
    <row r="36" spans="1:5" x14ac:dyDescent="0.25">
      <c r="A36">
        <v>35</v>
      </c>
      <c r="B36" t="s">
        <v>22</v>
      </c>
      <c r="C36" t="s">
        <v>137</v>
      </c>
      <c r="E36" t="s">
        <v>401</v>
      </c>
    </row>
    <row r="37" spans="1:5" x14ac:dyDescent="0.25">
      <c r="A37">
        <v>36</v>
      </c>
      <c r="B37" t="s">
        <v>14</v>
      </c>
      <c r="C37" t="s">
        <v>138</v>
      </c>
      <c r="E37" t="s">
        <v>402</v>
      </c>
    </row>
    <row r="38" spans="1:5" x14ac:dyDescent="0.25">
      <c r="A38">
        <v>37</v>
      </c>
      <c r="B38" t="s">
        <v>13</v>
      </c>
      <c r="C38" t="s">
        <v>139</v>
      </c>
      <c r="E38" t="s">
        <v>384</v>
      </c>
    </row>
    <row r="39" spans="1:5" x14ac:dyDescent="0.25">
      <c r="C39" t="s">
        <v>140</v>
      </c>
      <c r="E39" t="s">
        <v>385</v>
      </c>
    </row>
    <row r="40" spans="1:5" x14ac:dyDescent="0.25">
      <c r="C40" t="s">
        <v>141</v>
      </c>
      <c r="E40" t="s">
        <v>403</v>
      </c>
    </row>
    <row r="41" spans="1:5" x14ac:dyDescent="0.25">
      <c r="C41" t="s">
        <v>142</v>
      </c>
      <c r="E41" t="s">
        <v>404</v>
      </c>
    </row>
    <row r="42" spans="1:5" x14ac:dyDescent="0.25">
      <c r="C42" t="s">
        <v>143</v>
      </c>
      <c r="E42" t="s">
        <v>386</v>
      </c>
    </row>
    <row r="43" spans="1:5" x14ac:dyDescent="0.25">
      <c r="C43" t="s">
        <v>144</v>
      </c>
      <c r="E43" t="s">
        <v>387</v>
      </c>
    </row>
    <row r="44" spans="1:5" x14ac:dyDescent="0.25">
      <c r="C44" t="s">
        <v>145</v>
      </c>
      <c r="E44" t="s">
        <v>278</v>
      </c>
    </row>
    <row r="45" spans="1:5" x14ac:dyDescent="0.25">
      <c r="C45" t="s">
        <v>146</v>
      </c>
      <c r="E45" t="s">
        <v>388</v>
      </c>
    </row>
    <row r="46" spans="1:5" x14ac:dyDescent="0.25">
      <c r="C46" t="s">
        <v>147</v>
      </c>
      <c r="E46" t="s">
        <v>415</v>
      </c>
    </row>
    <row r="47" spans="1:5" x14ac:dyDescent="0.25">
      <c r="C47" t="s">
        <v>148</v>
      </c>
      <c r="E47" t="s">
        <v>413</v>
      </c>
    </row>
    <row r="48" spans="1:5" x14ac:dyDescent="0.25">
      <c r="C48" t="s">
        <v>149</v>
      </c>
      <c r="E48" t="s">
        <v>416</v>
      </c>
    </row>
    <row r="49" spans="3:5" x14ac:dyDescent="0.25">
      <c r="C49" t="s">
        <v>150</v>
      </c>
      <c r="E49" t="s">
        <v>279</v>
      </c>
    </row>
    <row r="50" spans="3:5" x14ac:dyDescent="0.25">
      <c r="C50" t="s">
        <v>151</v>
      </c>
      <c r="E50" t="s">
        <v>280</v>
      </c>
    </row>
    <row r="51" spans="3:5" x14ac:dyDescent="0.25">
      <c r="C51" t="s">
        <v>152</v>
      </c>
      <c r="E51" t="s">
        <v>281</v>
      </c>
    </row>
    <row r="52" spans="3:5" x14ac:dyDescent="0.25">
      <c r="C52" t="s">
        <v>153</v>
      </c>
      <c r="E52" t="s">
        <v>389</v>
      </c>
    </row>
    <row r="53" spans="3:5" x14ac:dyDescent="0.25">
      <c r="C53" t="s">
        <v>154</v>
      </c>
      <c r="E53" t="s">
        <v>282</v>
      </c>
    </row>
    <row r="54" spans="3:5" x14ac:dyDescent="0.25">
      <c r="C54" t="s">
        <v>155</v>
      </c>
      <c r="E54" t="s">
        <v>417</v>
      </c>
    </row>
    <row r="55" spans="3:5" x14ac:dyDescent="0.25">
      <c r="C55" t="s">
        <v>156</v>
      </c>
      <c r="E55" t="s">
        <v>405</v>
      </c>
    </row>
    <row r="56" spans="3:5" x14ac:dyDescent="0.25">
      <c r="C56" t="s">
        <v>157</v>
      </c>
      <c r="E56" t="s">
        <v>406</v>
      </c>
    </row>
    <row r="57" spans="3:5" x14ac:dyDescent="0.25">
      <c r="C57" t="s">
        <v>158</v>
      </c>
      <c r="E57" t="s">
        <v>407</v>
      </c>
    </row>
    <row r="58" spans="3:5" x14ac:dyDescent="0.25">
      <c r="C58" t="s">
        <v>159</v>
      </c>
      <c r="E58" t="s">
        <v>408</v>
      </c>
    </row>
    <row r="59" spans="3:5" x14ac:dyDescent="0.25">
      <c r="C59" t="s">
        <v>160</v>
      </c>
      <c r="E59" t="s">
        <v>390</v>
      </c>
    </row>
    <row r="60" spans="3:5" x14ac:dyDescent="0.25">
      <c r="C60" t="s">
        <v>161</v>
      </c>
    </row>
    <row r="61" spans="3:5" x14ac:dyDescent="0.25">
      <c r="C61" t="s">
        <v>162</v>
      </c>
    </row>
    <row r="62" spans="3:5" x14ac:dyDescent="0.25">
      <c r="C62" t="s">
        <v>163</v>
      </c>
    </row>
    <row r="63" spans="3:5" x14ac:dyDescent="0.25">
      <c r="C63" t="s">
        <v>164</v>
      </c>
    </row>
    <row r="64" spans="3:5" x14ac:dyDescent="0.25">
      <c r="C64" t="s">
        <v>165</v>
      </c>
    </row>
    <row r="65" spans="3:3" x14ac:dyDescent="0.25">
      <c r="C65" t="s">
        <v>166</v>
      </c>
    </row>
    <row r="66" spans="3:3" x14ac:dyDescent="0.25">
      <c r="C66" t="s">
        <v>167</v>
      </c>
    </row>
    <row r="67" spans="3:3" x14ac:dyDescent="0.25">
      <c r="C67" t="s">
        <v>168</v>
      </c>
    </row>
    <row r="68" spans="3:3" x14ac:dyDescent="0.25">
      <c r="C68" t="s">
        <v>169</v>
      </c>
    </row>
    <row r="69" spans="3:3" x14ac:dyDescent="0.25">
      <c r="C69" t="s">
        <v>170</v>
      </c>
    </row>
    <row r="70" spans="3:3" x14ac:dyDescent="0.25">
      <c r="C70" t="s">
        <v>171</v>
      </c>
    </row>
    <row r="71" spans="3:3" x14ac:dyDescent="0.25">
      <c r="C71" t="s">
        <v>172</v>
      </c>
    </row>
    <row r="72" spans="3:3" x14ac:dyDescent="0.25">
      <c r="C72" t="s">
        <v>173</v>
      </c>
    </row>
    <row r="73" spans="3:3" x14ac:dyDescent="0.25">
      <c r="C73" t="s">
        <v>174</v>
      </c>
    </row>
    <row r="74" spans="3:3" x14ac:dyDescent="0.25">
      <c r="C74" t="s">
        <v>175</v>
      </c>
    </row>
    <row r="75" spans="3:3" x14ac:dyDescent="0.25">
      <c r="C75" t="s">
        <v>176</v>
      </c>
    </row>
    <row r="76" spans="3:3" x14ac:dyDescent="0.25">
      <c r="C76" t="s">
        <v>177</v>
      </c>
    </row>
    <row r="77" spans="3:3" x14ac:dyDescent="0.25">
      <c r="C77" t="s">
        <v>178</v>
      </c>
    </row>
    <row r="78" spans="3:3" x14ac:dyDescent="0.25">
      <c r="C78" t="s">
        <v>179</v>
      </c>
    </row>
    <row r="79" spans="3:3" x14ac:dyDescent="0.25">
      <c r="C79" t="s">
        <v>180</v>
      </c>
    </row>
    <row r="80" spans="3:3" x14ac:dyDescent="0.25">
      <c r="C80" t="s">
        <v>181</v>
      </c>
    </row>
    <row r="81" spans="3:3" x14ac:dyDescent="0.25">
      <c r="C81" t="s">
        <v>182</v>
      </c>
    </row>
    <row r="82" spans="3:3" x14ac:dyDescent="0.25">
      <c r="C82" t="s">
        <v>183</v>
      </c>
    </row>
    <row r="83" spans="3:3" x14ac:dyDescent="0.25">
      <c r="C83" t="s">
        <v>184</v>
      </c>
    </row>
    <row r="84" spans="3:3" x14ac:dyDescent="0.25">
      <c r="C84" t="s">
        <v>185</v>
      </c>
    </row>
    <row r="85" spans="3:3" x14ac:dyDescent="0.25">
      <c r="C85" t="s">
        <v>186</v>
      </c>
    </row>
    <row r="86" spans="3:3" x14ac:dyDescent="0.25">
      <c r="C86" t="s">
        <v>187</v>
      </c>
    </row>
    <row r="87" spans="3:3" x14ac:dyDescent="0.25">
      <c r="C87" t="s">
        <v>188</v>
      </c>
    </row>
    <row r="88" spans="3:3" x14ac:dyDescent="0.25">
      <c r="C88" t="s">
        <v>189</v>
      </c>
    </row>
    <row r="89" spans="3:3" x14ac:dyDescent="0.25">
      <c r="C89" t="s">
        <v>190</v>
      </c>
    </row>
    <row r="90" spans="3:3" x14ac:dyDescent="0.25">
      <c r="C90" t="s">
        <v>191</v>
      </c>
    </row>
    <row r="91" spans="3:3" x14ac:dyDescent="0.25">
      <c r="C91" t="s">
        <v>192</v>
      </c>
    </row>
    <row r="92" spans="3:3" x14ac:dyDescent="0.25">
      <c r="C92" t="s">
        <v>193</v>
      </c>
    </row>
    <row r="93" spans="3:3" x14ac:dyDescent="0.25">
      <c r="C93" t="s">
        <v>194</v>
      </c>
    </row>
    <row r="94" spans="3:3" x14ac:dyDescent="0.25">
      <c r="C94" t="s">
        <v>195</v>
      </c>
    </row>
    <row r="95" spans="3:3" x14ac:dyDescent="0.25">
      <c r="C95" t="s">
        <v>196</v>
      </c>
    </row>
    <row r="96" spans="3:3" x14ac:dyDescent="0.25">
      <c r="C96" t="s">
        <v>197</v>
      </c>
    </row>
    <row r="97" spans="3:3" x14ac:dyDescent="0.25">
      <c r="C97" t="s">
        <v>198</v>
      </c>
    </row>
    <row r="98" spans="3:3" x14ac:dyDescent="0.25">
      <c r="C98" t="s">
        <v>199</v>
      </c>
    </row>
    <row r="99" spans="3:3" x14ac:dyDescent="0.25">
      <c r="C99" t="s">
        <v>200</v>
      </c>
    </row>
    <row r="100" spans="3:3" x14ac:dyDescent="0.25">
      <c r="C100" t="s">
        <v>201</v>
      </c>
    </row>
    <row r="101" spans="3:3" x14ac:dyDescent="0.25">
      <c r="C101" t="s">
        <v>202</v>
      </c>
    </row>
    <row r="102" spans="3:3" x14ac:dyDescent="0.25">
      <c r="C102" t="s">
        <v>203</v>
      </c>
    </row>
    <row r="103" spans="3:3" x14ac:dyDescent="0.25">
      <c r="C103" t="s">
        <v>204</v>
      </c>
    </row>
    <row r="104" spans="3:3" x14ac:dyDescent="0.25">
      <c r="C104" t="s">
        <v>205</v>
      </c>
    </row>
    <row r="105" spans="3:3" x14ac:dyDescent="0.25">
      <c r="C105" t="s">
        <v>207</v>
      </c>
    </row>
    <row r="106" spans="3:3" x14ac:dyDescent="0.25">
      <c r="C106" t="s">
        <v>208</v>
      </c>
    </row>
    <row r="107" spans="3:3" x14ac:dyDescent="0.25">
      <c r="C107" t="s">
        <v>209</v>
      </c>
    </row>
    <row r="108" spans="3:3" x14ac:dyDescent="0.25">
      <c r="C108" t="s">
        <v>210</v>
      </c>
    </row>
    <row r="109" spans="3:3" x14ac:dyDescent="0.25">
      <c r="C109" t="s">
        <v>211</v>
      </c>
    </row>
    <row r="110" spans="3:3" x14ac:dyDescent="0.25">
      <c r="C110" t="s">
        <v>212</v>
      </c>
    </row>
    <row r="111" spans="3:3" x14ac:dyDescent="0.25">
      <c r="C111" t="s">
        <v>213</v>
      </c>
    </row>
    <row r="112" spans="3:3" x14ac:dyDescent="0.25">
      <c r="C112" t="s">
        <v>214</v>
      </c>
    </row>
    <row r="113" spans="3:3" x14ac:dyDescent="0.25">
      <c r="C113" t="s">
        <v>215</v>
      </c>
    </row>
    <row r="114" spans="3:3" x14ac:dyDescent="0.25">
      <c r="C114" t="s">
        <v>216</v>
      </c>
    </row>
    <row r="115" spans="3:3" x14ac:dyDescent="0.25">
      <c r="C115" t="s">
        <v>217</v>
      </c>
    </row>
    <row r="116" spans="3:3" x14ac:dyDescent="0.25">
      <c r="C116" t="s">
        <v>218</v>
      </c>
    </row>
    <row r="117" spans="3:3" x14ac:dyDescent="0.25">
      <c r="C117" t="s">
        <v>219</v>
      </c>
    </row>
    <row r="118" spans="3:3" x14ac:dyDescent="0.25">
      <c r="C118" t="s">
        <v>220</v>
      </c>
    </row>
    <row r="119" spans="3:3" x14ac:dyDescent="0.25">
      <c r="C119" t="s">
        <v>221</v>
      </c>
    </row>
    <row r="120" spans="3:3" x14ac:dyDescent="0.25">
      <c r="C120" t="s">
        <v>222</v>
      </c>
    </row>
    <row r="121" spans="3:3" x14ac:dyDescent="0.25">
      <c r="C121" t="s">
        <v>223</v>
      </c>
    </row>
    <row r="122" spans="3:3" x14ac:dyDescent="0.25">
      <c r="C122" t="s">
        <v>224</v>
      </c>
    </row>
    <row r="123" spans="3:3" x14ac:dyDescent="0.25">
      <c r="C123" t="s">
        <v>225</v>
      </c>
    </row>
    <row r="124" spans="3:3" x14ac:dyDescent="0.25">
      <c r="C124" t="s">
        <v>226</v>
      </c>
    </row>
    <row r="125" spans="3:3" x14ac:dyDescent="0.25">
      <c r="C125" t="s">
        <v>227</v>
      </c>
    </row>
    <row r="126" spans="3:3" x14ac:dyDescent="0.25">
      <c r="C126" t="s">
        <v>228</v>
      </c>
    </row>
    <row r="127" spans="3:3" x14ac:dyDescent="0.25">
      <c r="C127" t="s">
        <v>229</v>
      </c>
    </row>
    <row r="128" spans="3:3" x14ac:dyDescent="0.25">
      <c r="C128" t="s">
        <v>230</v>
      </c>
    </row>
    <row r="129" spans="3:3" x14ac:dyDescent="0.25">
      <c r="C129" t="s">
        <v>231</v>
      </c>
    </row>
    <row r="130" spans="3:3" x14ac:dyDescent="0.25">
      <c r="C130" t="s">
        <v>232</v>
      </c>
    </row>
    <row r="131" spans="3:3" x14ac:dyDescent="0.25">
      <c r="C131" t="s">
        <v>233</v>
      </c>
    </row>
    <row r="132" spans="3:3" x14ac:dyDescent="0.25">
      <c r="C132" t="s">
        <v>234</v>
      </c>
    </row>
    <row r="133" spans="3:3" x14ac:dyDescent="0.25">
      <c r="C133" t="s">
        <v>235</v>
      </c>
    </row>
    <row r="134" spans="3:3" x14ac:dyDescent="0.25">
      <c r="C134" t="s">
        <v>236</v>
      </c>
    </row>
    <row r="135" spans="3:3" x14ac:dyDescent="0.25">
      <c r="C135" t="s">
        <v>237</v>
      </c>
    </row>
    <row r="136" spans="3:3" x14ac:dyDescent="0.25">
      <c r="C136" t="s">
        <v>238</v>
      </c>
    </row>
    <row r="137" spans="3:3" x14ac:dyDescent="0.25">
      <c r="C137" t="s">
        <v>239</v>
      </c>
    </row>
    <row r="138" spans="3:3" x14ac:dyDescent="0.25">
      <c r="C138" t="s">
        <v>240</v>
      </c>
    </row>
    <row r="139" spans="3:3" x14ac:dyDescent="0.25">
      <c r="C139" t="s">
        <v>241</v>
      </c>
    </row>
    <row r="140" spans="3:3" x14ac:dyDescent="0.25">
      <c r="C140" t="s">
        <v>242</v>
      </c>
    </row>
    <row r="141" spans="3:3" x14ac:dyDescent="0.25">
      <c r="C141" t="s">
        <v>66</v>
      </c>
    </row>
    <row r="142" spans="3:3" x14ac:dyDescent="0.25">
      <c r="C142" t="s">
        <v>243</v>
      </c>
    </row>
    <row r="143" spans="3:3" x14ac:dyDescent="0.25">
      <c r="C143" t="s">
        <v>244</v>
      </c>
    </row>
    <row r="144" spans="3:3" x14ac:dyDescent="0.25">
      <c r="C144" t="s">
        <v>68</v>
      </c>
    </row>
    <row r="145" spans="3:3" x14ac:dyDescent="0.25">
      <c r="C145" t="s">
        <v>69</v>
      </c>
    </row>
    <row r="146" spans="3:3" x14ac:dyDescent="0.25">
      <c r="C146" t="s">
        <v>70</v>
      </c>
    </row>
    <row r="147" spans="3:3" x14ac:dyDescent="0.25">
      <c r="C147" t="s">
        <v>71</v>
      </c>
    </row>
    <row r="148" spans="3:3" x14ac:dyDescent="0.25">
      <c r="C148" t="s">
        <v>53</v>
      </c>
    </row>
    <row r="149" spans="3:3" x14ac:dyDescent="0.25">
      <c r="C149" t="s">
        <v>72</v>
      </c>
    </row>
    <row r="150" spans="3:3" x14ac:dyDescent="0.25">
      <c r="C150" t="s">
        <v>54</v>
      </c>
    </row>
    <row r="151" spans="3:3" x14ac:dyDescent="0.25">
      <c r="C151" t="s">
        <v>73</v>
      </c>
    </row>
    <row r="152" spans="3:3" x14ac:dyDescent="0.25">
      <c r="C152" t="s">
        <v>55</v>
      </c>
    </row>
    <row r="153" spans="3:3" x14ac:dyDescent="0.25">
      <c r="C153" t="s">
        <v>74</v>
      </c>
    </row>
    <row r="154" spans="3:3" x14ac:dyDescent="0.25">
      <c r="C154" t="s">
        <v>75</v>
      </c>
    </row>
    <row r="155" spans="3:3" x14ac:dyDescent="0.25">
      <c r="C155" t="s">
        <v>76</v>
      </c>
    </row>
    <row r="156" spans="3:3" x14ac:dyDescent="0.25">
      <c r="C156" t="s">
        <v>77</v>
      </c>
    </row>
    <row r="157" spans="3:3" x14ac:dyDescent="0.25">
      <c r="C157" t="s">
        <v>78</v>
      </c>
    </row>
    <row r="158" spans="3:3" x14ac:dyDescent="0.25">
      <c r="C158" t="s">
        <v>56</v>
      </c>
    </row>
    <row r="159" spans="3:3" x14ac:dyDescent="0.25">
      <c r="C159" t="s">
        <v>79</v>
      </c>
    </row>
    <row r="160" spans="3:3" x14ac:dyDescent="0.25">
      <c r="C160" t="s">
        <v>80</v>
      </c>
    </row>
    <row r="161" spans="3:3" x14ac:dyDescent="0.25">
      <c r="C161" t="s">
        <v>81</v>
      </c>
    </row>
    <row r="162" spans="3:3" x14ac:dyDescent="0.25">
      <c r="C162" t="s">
        <v>82</v>
      </c>
    </row>
    <row r="163" spans="3:3" x14ac:dyDescent="0.25">
      <c r="C163" t="s">
        <v>83</v>
      </c>
    </row>
    <row r="164" spans="3:3" x14ac:dyDescent="0.25">
      <c r="C164" t="s">
        <v>84</v>
      </c>
    </row>
    <row r="165" spans="3:3" x14ac:dyDescent="0.25">
      <c r="C165" t="s">
        <v>57</v>
      </c>
    </row>
    <row r="166" spans="3:3" x14ac:dyDescent="0.25">
      <c r="C166" t="s">
        <v>85</v>
      </c>
    </row>
    <row r="167" spans="3:3" x14ac:dyDescent="0.25">
      <c r="C167" t="s">
        <v>86</v>
      </c>
    </row>
    <row r="168" spans="3:3" x14ac:dyDescent="0.25">
      <c r="C168" t="s">
        <v>87</v>
      </c>
    </row>
    <row r="169" spans="3:3" x14ac:dyDescent="0.25">
      <c r="C169" t="s">
        <v>58</v>
      </c>
    </row>
    <row r="170" spans="3:3" x14ac:dyDescent="0.25">
      <c r="C170" t="s">
        <v>59</v>
      </c>
    </row>
    <row r="171" spans="3:3" x14ac:dyDescent="0.25">
      <c r="C171" t="s">
        <v>88</v>
      </c>
    </row>
    <row r="172" spans="3:3" x14ac:dyDescent="0.25">
      <c r="C172" t="s">
        <v>89</v>
      </c>
    </row>
    <row r="173" spans="3:3" x14ac:dyDescent="0.25">
      <c r="C173" t="s">
        <v>90</v>
      </c>
    </row>
    <row r="174" spans="3:3" x14ac:dyDescent="0.25">
      <c r="C174" t="s">
        <v>91</v>
      </c>
    </row>
    <row r="175" spans="3:3" x14ac:dyDescent="0.25">
      <c r="C175" t="s">
        <v>92</v>
      </c>
    </row>
    <row r="176" spans="3:3" x14ac:dyDescent="0.25">
      <c r="C176" t="s">
        <v>93</v>
      </c>
    </row>
    <row r="177" spans="3:3" x14ac:dyDescent="0.25">
      <c r="C177" t="s">
        <v>94</v>
      </c>
    </row>
    <row r="178" spans="3:3" x14ac:dyDescent="0.25">
      <c r="C178" t="s">
        <v>95</v>
      </c>
    </row>
    <row r="179" spans="3:3" x14ac:dyDescent="0.25">
      <c r="C179" t="s">
        <v>75</v>
      </c>
    </row>
    <row r="180" spans="3:3" x14ac:dyDescent="0.25">
      <c r="C180" t="s">
        <v>60</v>
      </c>
    </row>
    <row r="181" spans="3:3" x14ac:dyDescent="0.25">
      <c r="C181" t="s">
        <v>96</v>
      </c>
    </row>
    <row r="182" spans="3:3" x14ac:dyDescent="0.25">
      <c r="C182" t="s">
        <v>97</v>
      </c>
    </row>
    <row r="183" spans="3:3" x14ac:dyDescent="0.25">
      <c r="C183" t="s">
        <v>98</v>
      </c>
    </row>
    <row r="184" spans="3:3" x14ac:dyDescent="0.25">
      <c r="C184" t="s">
        <v>61</v>
      </c>
    </row>
    <row r="185" spans="3:3" x14ac:dyDescent="0.25">
      <c r="C185" t="s">
        <v>99</v>
      </c>
    </row>
    <row r="186" spans="3:3" x14ac:dyDescent="0.25">
      <c r="C186" t="s">
        <v>100</v>
      </c>
    </row>
    <row r="187" spans="3:3" x14ac:dyDescent="0.25">
      <c r="C187" t="s">
        <v>101</v>
      </c>
    </row>
    <row r="188" spans="3:3" x14ac:dyDescent="0.25">
      <c r="C188" t="s">
        <v>102</v>
      </c>
    </row>
    <row r="189" spans="3:3" x14ac:dyDescent="0.25">
      <c r="C189" t="s">
        <v>62</v>
      </c>
    </row>
    <row r="190" spans="3:3" x14ac:dyDescent="0.25">
      <c r="C190" t="s">
        <v>103</v>
      </c>
    </row>
    <row r="191" spans="3:3" x14ac:dyDescent="0.25">
      <c r="C191" t="s">
        <v>63</v>
      </c>
    </row>
    <row r="192" spans="3:3" x14ac:dyDescent="0.25">
      <c r="C192" t="s">
        <v>104</v>
      </c>
    </row>
    <row r="193" spans="3:3" x14ac:dyDescent="0.25">
      <c r="C193" t="s">
        <v>64</v>
      </c>
    </row>
    <row r="194" spans="3:3" x14ac:dyDescent="0.25">
      <c r="C194" t="s">
        <v>105</v>
      </c>
    </row>
    <row r="195" spans="3:3" x14ac:dyDescent="0.25">
      <c r="C195" t="s">
        <v>65</v>
      </c>
    </row>
  </sheetData>
  <sheetProtection algorithmName="SHA-512" hashValue="DjOMUJHmSlgZ0SbBfecHtRGmpBLFq2fElu88fqQPLcWAoYh98raSnbp+Qo5WaCmEZQ1tSpf8ZgHQzzd1dt2k1g==" saltValue="A83vb6unEdXApDEKdJNkGA==" spinCount="100000" sheet="1" objects="1" scenarios="1" selectLockedCells="1" selectUn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F206A2-AE77-43FC-A0E7-992CE06B99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vt:i4>
      </vt:variant>
    </vt:vector>
  </HeadingPairs>
  <TitlesOfParts>
    <vt:vector size="19" baseType="lpstr">
      <vt:lpstr>1 de 6 - PROYECTO</vt:lpstr>
      <vt:lpstr>2 de 6 - TITULARES</vt:lpstr>
      <vt:lpstr>3 de 6 - UBICACION-PADRONES</vt:lpstr>
      <vt:lpstr>4 de 6 - UBICACION-AREA</vt:lpstr>
      <vt:lpstr>5 de 6 - ELEMENTOS INTERES</vt:lpstr>
      <vt:lpstr>6de6 - POS. IMPACTOS Y MEDIDAS</vt:lpstr>
      <vt:lpstr>REFERENCIAS</vt:lpstr>
      <vt:lpstr>ambito</vt:lpstr>
      <vt:lpstr>'1 de 6 - PROYECTO'!Área_de_impresión</vt:lpstr>
      <vt:lpstr>'2 de 6 - TITULARES'!Área_de_impresión</vt:lpstr>
      <vt:lpstr>'3 de 6 - UBICACION-PADRONES'!Área_de_impresión</vt:lpstr>
      <vt:lpstr>'4 de 6 - UBICACION-AREA'!Área_de_impresión</vt:lpstr>
      <vt:lpstr>'5 de 6 - ELEMENTOS INTERES'!Área_de_impresión</vt:lpstr>
      <vt:lpstr>'6de6 - POS. IMPACTOS Y MEDIDAS'!Área_de_impresión</vt:lpstr>
      <vt:lpstr>deptos</vt:lpstr>
      <vt:lpstr>elementos_int</vt:lpstr>
      <vt:lpstr>nacionalidades</vt:lpstr>
      <vt:lpstr>profesion</vt:lpstr>
      <vt:lpstr>tipo_persona</vt:lpstr>
    </vt:vector>
  </TitlesOfParts>
  <Company>Ministerio de Ambiente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Rosina Segui</dc:creator>
  <cp:lastModifiedBy>Rosina Segui</cp:lastModifiedBy>
  <cp:lastPrinted>2026-06-22T19:16:06Z</cp:lastPrinted>
  <dcterms:created xsi:type="dcterms:W3CDTF">2026-06-17T18:39:39Z</dcterms:created>
  <dcterms:modified xsi:type="dcterms:W3CDTF">2026-06-23T15:36:21Z</dcterms:modified>
</cp:coreProperties>
</file>